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key" sheetId="2" state="visible" r:id="rId2"/>
    <sheet xmlns:r="http://schemas.openxmlformats.org/officeDocument/2006/relationships" name="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3384A"/>
      <sz val="14"/>
    </font>
    <font>
      <i val="1"/>
      <color rgb="00566377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F7E9E"/>
      </patternFill>
    </fill>
    <fill>
      <patternFill patternType="solid">
        <fgColor rgb="00F6F9FC"/>
      </patternFill>
    </fill>
  </fills>
  <borders count="2">
    <border>
      <left/>
      <right/>
      <top/>
      <bottom/>
      <diagonal/>
    </border>
    <border>
      <left style="thin">
        <color rgb="00E1E7F0"/>
      </left>
      <right style="thin">
        <color rgb="00E1E7F0"/>
      </right>
      <top style="thin">
        <color rgb="00E1E7F0"/>
      </top>
      <bottom style="thin">
        <color rgb="00E1E7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F2AEBE"/>
        </patternFill>
      </fill>
    </dxf>
    <dxf>
      <fill>
        <patternFill patternType="solid">
          <fgColor rgb="00EAC873"/>
        </patternFill>
      </fill>
    </dxf>
    <dxf>
      <fill>
        <patternFill patternType="solid">
          <fgColor rgb="00B6D4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8" customWidth="1" min="4" max="4"/>
    <col width="8" customWidth="1" min="5" max="5"/>
    <col width="10" customWidth="1" min="6" max="6"/>
    <col width="11" customWidth="1" min="7" max="7"/>
    <col width="30" customWidth="1" min="8" max="8"/>
    <col width="26" customWidth="1" min="9" max="9"/>
    <col width="28" customWidth="1" min="10" max="10"/>
    <col width="8" customWidth="1" min="11" max="11"/>
    <col width="8" customWidth="1" min="12" max="12"/>
    <col width="10" customWidth="1" min="13" max="13"/>
    <col width="11" customWidth="1" min="14" max="14"/>
    <col width="34" customWidth="1" min="15" max="15"/>
    <col width="22" customWidth="1" min="16" max="16"/>
  </cols>
  <sheetData>
    <row r="1">
      <c r="A1" s="1" t="inlineStr">
        <is>
          <t>Medical Device Cybersecurity Risk Assessment</t>
        </is>
      </c>
    </row>
    <row r="2">
      <c r="A2" s="2" t="inlineStr">
        <is>
          <t>Cyber issue → C/I/A impact → inherent risk → mitigating control → hazardous situation → patient-safety impact → residual risk → recommendation → standards. Severity &amp; Likelihood 1–5; Risk = Sev×Lik (live formulas). Illustrative — adapt to your device.</t>
        </is>
      </c>
    </row>
    <row r="4">
      <c r="A4" s="3" t="inlineStr">
        <is>
          <t>ID</t>
        </is>
      </c>
      <c r="B4" s="3" t="inlineStr">
        <is>
          <t>Cyber issue</t>
        </is>
      </c>
      <c r="C4" s="3" t="inlineStr">
        <is>
          <t>C/I/A impact</t>
        </is>
      </c>
      <c r="D4" s="3" t="inlineStr">
        <is>
          <t>Inh. Sev</t>
        </is>
      </c>
      <c r="E4" s="3" t="inlineStr">
        <is>
          <t>Inh. Lik</t>
        </is>
      </c>
      <c r="F4" s="3" t="inlineStr">
        <is>
          <t>Inherent risk</t>
        </is>
      </c>
      <c r="G4" s="3" t="inlineStr">
        <is>
          <t>Inherent level</t>
        </is>
      </c>
      <c r="H4" s="3" t="inlineStr">
        <is>
          <t>Mitigating control</t>
        </is>
      </c>
      <c r="I4" s="3" t="inlineStr">
        <is>
          <t>Hazardous situation</t>
        </is>
      </c>
      <c r="J4" s="3" t="inlineStr">
        <is>
          <t>Patient-safety impact</t>
        </is>
      </c>
      <c r="K4" s="3" t="inlineStr">
        <is>
          <t>Res. Sev</t>
        </is>
      </c>
      <c r="L4" s="3" t="inlineStr">
        <is>
          <t>Res. Lik</t>
        </is>
      </c>
      <c r="M4" s="3" t="inlineStr">
        <is>
          <t>Residual risk</t>
        </is>
      </c>
      <c r="N4" s="3" t="inlineStr">
        <is>
          <t>Residual level</t>
        </is>
      </c>
      <c r="O4" s="3" t="inlineStr">
        <is>
          <t>Recommendation to remediate</t>
        </is>
      </c>
      <c r="P4" s="3" t="inlineStr">
        <is>
          <t>Standards</t>
        </is>
      </c>
    </row>
    <row r="5">
      <c r="A5" s="4" t="inlineStr">
        <is>
          <t>ra-01</t>
        </is>
      </c>
      <c r="B5" s="4" t="inlineStr">
        <is>
          <t>Unauthorized modification of infusion program / drug library</t>
        </is>
      </c>
      <c r="C5" s="4" t="inlineStr">
        <is>
          <t>I, A</t>
        </is>
      </c>
      <c r="D5" s="5" t="n">
        <v>5</v>
      </c>
      <c r="E5" s="5" t="n">
        <v>3</v>
      </c>
      <c r="F5" s="5">
        <f>D5*E5</f>
        <v/>
      </c>
      <c r="G5" s="5">
        <f>IF(F5&gt;=12,"High",IF(F5&gt;=6,"Medium","Low"))</f>
        <v/>
      </c>
      <c r="H5" s="4" t="inlineStr">
        <is>
          <t>Mutual authentication, signed configuration, server-side order validation, dose range limits</t>
        </is>
      </c>
      <c r="I5" s="4" t="inlineStr">
        <is>
          <t>Over- or under-infusion of medication</t>
        </is>
      </c>
      <c r="J5" s="4" t="inlineStr">
        <is>
          <t>Overdose/underdose — serious harm or death</t>
        </is>
      </c>
      <c r="K5" s="5" t="n">
        <v>5</v>
      </c>
      <c r="L5" s="5" t="n">
        <v>1</v>
      </c>
      <c r="M5" s="5">
        <f>K5*L5</f>
        <v/>
      </c>
      <c r="N5" s="5">
        <f>IF(M5&gt;=12,"High",IF(M5&gt;=6,"Medium","Low"))</f>
        <v/>
      </c>
      <c r="O5" s="4" t="inlineStr">
        <is>
          <t>Enforce signed config + order validation; segment clinical network; alert on anomalous programming</t>
        </is>
      </c>
      <c r="P5" s="4" t="inlineStr">
        <is>
          <t>ISO 14971; AAMI SW96; FDA Premarket 2025</t>
        </is>
      </c>
    </row>
    <row r="6">
      <c r="A6" s="6" t="inlineStr">
        <is>
          <t>ra-02</t>
        </is>
      </c>
      <c r="B6" s="6" t="inlineStr">
        <is>
          <t>Unauthenticated wireless (BLE) command to insulin pump</t>
        </is>
      </c>
      <c r="C6" s="6" t="inlineStr">
        <is>
          <t>I</t>
        </is>
      </c>
      <c r="D6" s="7" t="n">
        <v>5</v>
      </c>
      <c r="E6" s="7" t="n">
        <v>3</v>
      </c>
      <c r="F6" s="7">
        <f>D6*E6</f>
        <v/>
      </c>
      <c r="G6" s="7">
        <f>IF(F6&gt;=12,"High",IF(F6&gt;=6,"Medium","Low"))</f>
        <v/>
      </c>
      <c r="H6" s="6" t="inlineStr">
        <is>
          <t>Bonded pairing, authenticated commands, max-dose sanity limits</t>
        </is>
      </c>
      <c r="I6" s="6" t="inlineStr">
        <is>
          <t>Incorrect insulin delivery</t>
        </is>
      </c>
      <c r="J6" s="6" t="inlineStr">
        <is>
          <t>Hypo-/hyperglycemia — serious harm</t>
        </is>
      </c>
      <c r="K6" s="7" t="n">
        <v>5</v>
      </c>
      <c r="L6" s="7" t="n">
        <v>1</v>
      </c>
      <c r="M6" s="7">
        <f>K6*L6</f>
        <v/>
      </c>
      <c r="N6" s="7">
        <f>IF(M6&gt;=12,"High",IF(M6&gt;=6,"Medium","Low"))</f>
        <v/>
      </c>
      <c r="O6" s="6" t="inlineStr">
        <is>
          <t>Require authenticated pairing; cap maximum dose; alert on anomalous commands</t>
        </is>
      </c>
      <c r="P6" s="6" t="inlineStr">
        <is>
          <t>ISO 14971; FDA Premarket 2025</t>
        </is>
      </c>
    </row>
    <row r="7">
      <c r="A7" s="4" t="inlineStr">
        <is>
          <t>ra-03</t>
        </is>
      </c>
      <c r="B7" s="4" t="inlineStr">
        <is>
          <t>Unauthenticated RF telemetry to implant (pacemaker/ICD)</t>
        </is>
      </c>
      <c r="C7" s="4" t="inlineStr">
        <is>
          <t>I, C</t>
        </is>
      </c>
      <c r="D7" s="5" t="n">
        <v>5</v>
      </c>
      <c r="E7" s="5" t="n">
        <v>2</v>
      </c>
      <c r="F7" s="5">
        <f>D7*E7</f>
        <v/>
      </c>
      <c r="G7" s="5">
        <f>IF(F7&gt;=12,"High",IF(F7&gt;=6,"Medium","Low"))</f>
        <v/>
      </c>
      <c r="H7" s="4" t="inlineStr">
        <is>
          <t>Authenticated/encrypted telemetry, staged signed firmware</t>
        </is>
      </c>
      <c r="I7" s="4" t="inlineStr">
        <is>
          <t>Altered pacing/defibrillation settings</t>
        </is>
      </c>
      <c r="J7" s="4" t="inlineStr">
        <is>
          <t>Inappropriate therapy — death</t>
        </is>
      </c>
      <c r="K7" s="5" t="n">
        <v>5</v>
      </c>
      <c r="L7" s="5" t="n">
        <v>1</v>
      </c>
      <c r="M7" s="5">
        <f>K7*L7</f>
        <v/>
      </c>
      <c r="N7" s="5">
        <f>IF(M7&gt;=12,"High",IF(M7&gt;=6,"Medium","Low"))</f>
        <v/>
      </c>
      <c r="O7" s="4" t="inlineStr">
        <is>
          <t>Deploy authenticated telemetry; monitored firmware update via clinic</t>
        </is>
      </c>
      <c r="P7" s="4" t="inlineStr">
        <is>
          <t>ISO 14971; IEC 81001-5-1</t>
        </is>
      </c>
    </row>
    <row r="8">
      <c r="A8" s="6" t="inlineStr">
        <is>
          <t>ra-04</t>
        </is>
      </c>
      <c r="B8" s="6" t="inlineStr">
        <is>
          <t>Network flood / ransomware / RF jamming (availability loss)</t>
        </is>
      </c>
      <c r="C8" s="6" t="inlineStr">
        <is>
          <t>A</t>
        </is>
      </c>
      <c r="D8" s="7" t="n">
        <v>4</v>
      </c>
      <c r="E8" s="7" t="n">
        <v>4</v>
      </c>
      <c r="F8" s="7">
        <f>D8*E8</f>
        <v/>
      </c>
      <c r="G8" s="7">
        <f>IF(F8&gt;=12,"High",IF(F8&gt;=6,"Medium","Low"))</f>
        <v/>
      </c>
      <c r="H8" s="6" t="inlineStr">
        <is>
          <t>Safe-state design, local fallback/buffering, resiliency, offline backups</t>
        </is>
      </c>
      <c r="I8" s="6" t="inlineStr">
        <is>
          <t>Therapy interruption / device offline</t>
        </is>
      </c>
      <c r="J8" s="6" t="inlineStr">
        <is>
          <t>Delayed therapy or monitoring — harm</t>
        </is>
      </c>
      <c r="K8" s="7" t="n">
        <v>4</v>
      </c>
      <c r="L8" s="7" t="n">
        <v>2</v>
      </c>
      <c r="M8" s="7">
        <f>K8*L8</f>
        <v/>
      </c>
      <c r="N8" s="7">
        <f>IF(M8&gt;=12,"High",IF(M8&gt;=6,"Medium","Low"))</f>
        <v/>
      </c>
      <c r="O8" s="6" t="inlineStr">
        <is>
          <t>Design fail-safe + local autonomy; segment networks; tested backups/restore</t>
        </is>
      </c>
      <c r="P8" s="6" t="inlineStr">
        <is>
          <t>ISO 14971; FDA Postmarket; AAMI TIR97</t>
        </is>
      </c>
    </row>
    <row r="9">
      <c r="A9" s="4" t="inlineStr">
        <is>
          <t>ra-05</t>
        </is>
      </c>
      <c r="B9" s="4" t="inlineStr">
        <is>
          <t>Manipulated or suppressed clinical alert (monitor/CGM)</t>
        </is>
      </c>
      <c r="C9" s="4" t="inlineStr">
        <is>
          <t>I, A</t>
        </is>
      </c>
      <c r="D9" s="5" t="n">
        <v>4</v>
      </c>
      <c r="E9" s="5" t="n">
        <v>3</v>
      </c>
      <c r="F9" s="5">
        <f>D9*E9</f>
        <v/>
      </c>
      <c r="G9" s="5">
        <f>IF(F9&gt;=12,"High",IF(F9&gt;=6,"Medium","Low"))</f>
        <v/>
      </c>
      <c r="H9" s="4" t="inlineStr">
        <is>
          <t>Integrity checks, independent on-device alerting, validation</t>
        </is>
      </c>
      <c r="I9" s="4" t="inlineStr">
        <is>
          <t>Missed or false clinical alert</t>
        </is>
      </c>
      <c r="J9" s="4" t="inlineStr">
        <is>
          <t>Undetected deterioration — harm</t>
        </is>
      </c>
      <c r="K9" s="5" t="n">
        <v>4</v>
      </c>
      <c r="L9" s="5" t="n">
        <v>2</v>
      </c>
      <c r="M9" s="5">
        <f>K9*L9</f>
        <v/>
      </c>
      <c r="N9" s="5">
        <f>IF(M9&gt;=12,"High",IF(M9&gt;=6,"Medium","Low"))</f>
        <v/>
      </c>
      <c r="O9" s="4" t="inlineStr">
        <is>
          <t>Independent local alerting; integrity-verify alert path; anomaly detection</t>
        </is>
      </c>
      <c r="P9" s="4" t="inlineStr">
        <is>
          <t>ISO 14971; AAMI TIR57</t>
        </is>
      </c>
    </row>
    <row r="10">
      <c r="A10" s="6" t="inlineStr">
        <is>
          <t>ra-06</t>
        </is>
      </c>
      <c r="B10" s="6" t="inlineStr">
        <is>
          <t>Adversarial/poisoned input or model-integrity loss (AI)</t>
        </is>
      </c>
      <c r="C10" s="6" t="inlineStr">
        <is>
          <t>I</t>
        </is>
      </c>
      <c r="D10" s="7" t="n">
        <v>4</v>
      </c>
      <c r="E10" s="7" t="n">
        <v>3</v>
      </c>
      <c r="F10" s="7">
        <f>D10*E10</f>
        <v/>
      </c>
      <c r="G10" s="7">
        <f>IF(F10&gt;=12,"High",IF(F10&gt;=6,"Medium","Low"))</f>
        <v/>
      </c>
      <c r="H10" s="6" t="inlineStr">
        <is>
          <t>Adversarial testing, input validation, data/model integrity, monitoring</t>
        </is>
      </c>
      <c r="I10" s="6" t="inlineStr">
        <is>
          <t>AI misclassification (false negative)</t>
        </is>
      </c>
      <c r="J10" s="6" t="inlineStr">
        <is>
          <t>Missed diagnosis — delayed treatment</t>
        </is>
      </c>
      <c r="K10" s="7" t="n">
        <v>4</v>
      </c>
      <c r="L10" s="7" t="n">
        <v>2</v>
      </c>
      <c r="M10" s="7">
        <f>K10*L10</f>
        <v/>
      </c>
      <c r="N10" s="7">
        <f>IF(M10&gt;=12,"High",IF(M10&gt;=6,"Medium","Low"))</f>
        <v/>
      </c>
      <c r="O10" s="6" t="inlineStr">
        <is>
          <t>Adversarial + OOD testing; sign datasets/models; monitor real-world performance</t>
        </is>
      </c>
      <c r="P10" s="6" t="inlineStr">
        <is>
          <t>GMLP; NIST AI RMF; ISO 14971</t>
        </is>
      </c>
    </row>
    <row r="11">
      <c r="A11" s="4" t="inlineStr">
        <is>
          <t>ra-07</t>
        </is>
      </c>
      <c r="B11" s="4" t="inlineStr">
        <is>
          <t>Weak crypto / cloud misconfig / mobile data leakage</t>
        </is>
      </c>
      <c r="C11" s="4" t="inlineStr">
        <is>
          <t>C</t>
        </is>
      </c>
      <c r="D11" s="5" t="n">
        <v>2</v>
      </c>
      <c r="E11" s="5" t="n">
        <v>4</v>
      </c>
      <c r="F11" s="5">
        <f>D11*E11</f>
        <v/>
      </c>
      <c r="G11" s="5">
        <f>IF(F11&gt;=12,"High",IF(F11&gt;=6,"Medium","Low"))</f>
        <v/>
      </c>
      <c r="H11" s="4" t="inlineStr">
        <is>
          <t>TLS, encryption at rest, IAM least-privilege, secure mobile storage</t>
        </is>
      </c>
      <c r="I11" s="4" t="inlineStr">
        <is>
          <t>Disclosure of PHI</t>
        </is>
      </c>
      <c r="J11" s="4" t="inlineStr">
        <is>
          <t>Privacy harm; indirect safety via loss of trust</t>
        </is>
      </c>
      <c r="K11" s="5" t="n">
        <v>2</v>
      </c>
      <c r="L11" s="5" t="n">
        <v>2</v>
      </c>
      <c r="M11" s="5">
        <f>K11*L11</f>
        <v/>
      </c>
      <c r="N11" s="5">
        <f>IF(M11&gt;=12,"High",IF(M11&gt;=6,"Medium","Low"))</f>
        <v/>
      </c>
      <c r="O11" s="4" t="inlineStr">
        <is>
          <t>Enforce TLS + at-rest encryption; CSPM baseline; MASVS mobile storage</t>
        </is>
      </c>
      <c r="P11" s="4" t="inlineStr">
        <is>
          <t>ISO 27001; HIPAA; GDPR Art. 32</t>
        </is>
      </c>
    </row>
    <row r="12">
      <c r="A12" s="6" t="inlineStr">
        <is>
          <t>ra-08</t>
        </is>
      </c>
      <c r="B12" s="6" t="inlineStr">
        <is>
          <t>Unsigned update / no anti-rollback (malicious firmware)</t>
        </is>
      </c>
      <c r="C12" s="6" t="inlineStr">
        <is>
          <t>I, A</t>
        </is>
      </c>
      <c r="D12" s="7" t="n">
        <v>5</v>
      </c>
      <c r="E12" s="7" t="n">
        <v>2</v>
      </c>
      <c r="F12" s="7">
        <f>D12*E12</f>
        <v/>
      </c>
      <c r="G12" s="7">
        <f>IF(F12&gt;=12,"High",IF(F12&gt;=6,"Medium","Low"))</f>
        <v/>
      </c>
      <c r="H12" s="6" t="inlineStr">
        <is>
          <t>Signed updates, secure boot, anti-rollback</t>
        </is>
      </c>
      <c r="I12" s="6" t="inlineStr">
        <is>
          <t>Malicious firmware installed</t>
        </is>
      </c>
      <c r="J12" s="6" t="inlineStr">
        <is>
          <t>Arbitrary device behavior — severe harm</t>
        </is>
      </c>
      <c r="K12" s="7" t="n">
        <v>5</v>
      </c>
      <c r="L12" s="7" t="n">
        <v>1</v>
      </c>
      <c r="M12" s="7">
        <f>K12*L12</f>
        <v/>
      </c>
      <c r="N12" s="7">
        <f>IF(M12&gt;=12,"High",IF(M12&gt;=6,"Medium","Low"))</f>
        <v/>
      </c>
      <c r="O12" s="6" t="inlineStr">
        <is>
          <t>Mandate code signing + secure boot + anti-rollback; verify on receipt</t>
        </is>
      </c>
      <c r="P12" s="6" t="inlineStr">
        <is>
          <t>FDA Premarket 2025; IEC 81001-5-1</t>
        </is>
      </c>
    </row>
    <row r="13">
      <c r="A13" s="4" t="inlineStr">
        <is>
          <t>ra-09</t>
        </is>
      </c>
      <c r="B13" s="4" t="inlineStr">
        <is>
          <t>Unpatched OSS/third-party component (no SBOM/SCA)</t>
        </is>
      </c>
      <c r="C13" s="4" t="inlineStr">
        <is>
          <t>C, I, A</t>
        </is>
      </c>
      <c r="D13" s="5" t="n">
        <v>4</v>
      </c>
      <c r="E13" s="5" t="n">
        <v>4</v>
      </c>
      <c r="F13" s="5">
        <f>D13*E13</f>
        <v/>
      </c>
      <c r="G13" s="5">
        <f>IF(F13&gt;=12,"High",IF(F13&gt;=6,"Medium","Low"))</f>
        <v/>
      </c>
      <c r="H13" s="4" t="inlineStr">
        <is>
          <t>SBOM + SCA monitoring, patch SLAs, coordinated disclosure</t>
        </is>
      </c>
      <c r="I13" s="4" t="inlineStr">
        <is>
          <t>Exploited known component vulnerability</t>
        </is>
      </c>
      <c r="J13" s="4" t="inlineStr">
        <is>
          <t>Compromise — varied patient harm</t>
        </is>
      </c>
      <c r="K13" s="5" t="n">
        <v>4</v>
      </c>
      <c r="L13" s="5" t="n">
        <v>2</v>
      </c>
      <c r="M13" s="5">
        <f>K13*L13</f>
        <v/>
      </c>
      <c r="N13" s="5">
        <f>IF(M13&gt;=12,"High",IF(M13&gt;=6,"Medium","Low"))</f>
        <v/>
      </c>
      <c r="O13" s="4" t="inlineStr">
        <is>
          <t>Maintain SBOM; monitor CISA KEV; meet severity-based patch SLAs</t>
        </is>
      </c>
      <c r="P13" s="4" t="inlineStr">
        <is>
          <t>§524B; AAMI TIR97; NIST 800-53</t>
        </is>
      </c>
    </row>
    <row r="14">
      <c r="A14" s="6" t="inlineStr">
        <is>
          <t>ra-10</t>
        </is>
      </c>
      <c r="B14" s="6" t="inlineStr">
        <is>
          <t>Shared/default/hardcoded credentials</t>
        </is>
      </c>
      <c r="C14" s="6" t="inlineStr">
        <is>
          <t>C, I</t>
        </is>
      </c>
      <c r="D14" s="7" t="n">
        <v>4</v>
      </c>
      <c r="E14" s="7" t="n">
        <v>3</v>
      </c>
      <c r="F14" s="7">
        <f>D14*E14</f>
        <v/>
      </c>
      <c r="G14" s="7">
        <f>IF(F14&gt;=12,"High",IF(F14&gt;=6,"Medium","Low"))</f>
        <v/>
      </c>
      <c r="H14" s="6" t="inlineStr">
        <is>
          <t>No default creds, unique authentication, secret scanning</t>
        </is>
      </c>
      <c r="I14" s="6" t="inlineStr">
        <is>
          <t>Default/hardcoded credential abuse</t>
        </is>
      </c>
      <c r="J14" s="6" t="inlineStr">
        <is>
          <t>Unauthorized control — harm</t>
        </is>
      </c>
      <c r="K14" s="7" t="n">
        <v>4</v>
      </c>
      <c r="L14" s="7" t="n">
        <v>1</v>
      </c>
      <c r="M14" s="7">
        <f>K14*L14</f>
        <v/>
      </c>
      <c r="N14" s="7">
        <f>IF(M14&gt;=12,"High",IF(M14&gt;=6,"Medium","Low"))</f>
        <v/>
      </c>
      <c r="O14" s="6" t="inlineStr">
        <is>
          <t>Remove defaults; provision unique credentials; scan builds for secrets</t>
        </is>
      </c>
      <c r="P14" s="6" t="inlineStr">
        <is>
          <t>FDA Premarket 2025; OWASP</t>
        </is>
      </c>
    </row>
    <row r="15">
      <c r="A15" s="4" t="inlineStr">
        <is>
          <t>ra-11</t>
        </is>
      </c>
      <c r="B15" s="4" t="inlineStr">
        <is>
          <t>Open storage / over-broad IAM in AWS/Azure/GCP</t>
        </is>
      </c>
      <c r="C15" s="4" t="inlineStr">
        <is>
          <t>C, A</t>
        </is>
      </c>
      <c r="D15" s="5" t="n">
        <v>3</v>
      </c>
      <c r="E15" s="5" t="n">
        <v>4</v>
      </c>
      <c r="F15" s="5">
        <f>D15*E15</f>
        <v/>
      </c>
      <c r="G15" s="5">
        <f>IF(F15&gt;=12,"High",IF(F15&gt;=6,"Medium","Low"))</f>
        <v/>
      </c>
      <c r="H15" s="4" t="inlineStr">
        <is>
          <t>CIS baseline (CSPM), IAM least-privilege, audit logging</t>
        </is>
      </c>
      <c r="I15" s="4" t="inlineStr">
        <is>
          <t>Cloud misconfiguration data exposure</t>
        </is>
      </c>
      <c r="J15" s="4" t="inlineStr">
        <is>
          <t>Mass PHI exposure; availability impact</t>
        </is>
      </c>
      <c r="K15" s="5" t="n">
        <v>3</v>
      </c>
      <c r="L15" s="5" t="n">
        <v>2</v>
      </c>
      <c r="M15" s="5">
        <f>K15*L15</f>
        <v/>
      </c>
      <c r="N15" s="5">
        <f>IF(M15&gt;=12,"High",IF(M15&gt;=6,"Medium","Low"))</f>
        <v/>
      </c>
      <c r="O15" s="4" t="inlineStr">
        <is>
          <t>Apply CIS benchmark via CSPM; least-privilege IAM; enable audit logs</t>
        </is>
      </c>
      <c r="P15" s="4" t="inlineStr">
        <is>
          <t>ISO 27001; NIST 800-53</t>
        </is>
      </c>
    </row>
    <row r="16">
      <c r="A16" s="6" t="inlineStr">
        <is>
          <t>ra-12</t>
        </is>
      </c>
      <c r="B16" s="6" t="inlineStr">
        <is>
          <t>Insecure mobile storage / no pinning / rooted device</t>
        </is>
      </c>
      <c r="C16" s="6" t="inlineStr">
        <is>
          <t>C, I</t>
        </is>
      </c>
      <c r="D16" s="7" t="n">
        <v>3</v>
      </c>
      <c r="E16" s="7" t="n">
        <v>4</v>
      </c>
      <c r="F16" s="7">
        <f>D16*E16</f>
        <v/>
      </c>
      <c r="G16" s="7">
        <f>IF(F16&gt;=12,"High",IF(F16&gt;=6,"Medium","Low"))</f>
        <v/>
      </c>
      <c r="H16" s="6" t="inlineStr">
        <is>
          <t>Keychain/Keystore, certificate pinning, root/jailbreak detection (MASVS)</t>
        </is>
      </c>
      <c r="I16" s="6" t="inlineStr">
        <is>
          <t>Mobile app data leakage / tampering</t>
        </is>
      </c>
      <c r="J16" s="6" t="inlineStr">
        <is>
          <t>PHI exposure; manipulated readings</t>
        </is>
      </c>
      <c r="K16" s="7" t="n">
        <v>3</v>
      </c>
      <c r="L16" s="7" t="n">
        <v>2</v>
      </c>
      <c r="M16" s="7">
        <f>K16*L16</f>
        <v/>
      </c>
      <c r="N16" s="7">
        <f>IF(M16&gt;=12,"High",IF(M16&gt;=6,"Medium","Low"))</f>
        <v/>
      </c>
      <c r="O16" s="6" t="inlineStr">
        <is>
          <t>Use platform secure storage + pinning; MASVS testing; integrity checks</t>
        </is>
      </c>
      <c r="P16" s="6" t="inlineStr">
        <is>
          <t>OWASP MASVS; FDA Premarket 2025</t>
        </is>
      </c>
    </row>
  </sheetData>
  <conditionalFormatting sqref="F5:F16">
    <cfRule type="cellIs" priority="1" operator="greaterThanOrEqual" dxfId="0">
      <formula>12</formula>
    </cfRule>
    <cfRule type="cellIs" priority="2" operator="between" dxfId="1">
      <formula>6</formula>
      <formula>11</formula>
    </cfRule>
    <cfRule type="cellIs" priority="3" operator="lessThanOrEqual" dxfId="2">
      <formula>5</formula>
    </cfRule>
  </conditionalFormatting>
  <conditionalFormatting sqref="M5:M16">
    <cfRule type="cellIs" priority="4" operator="greaterThanOrEqual" dxfId="0">
      <formula>12</formula>
    </cfRule>
    <cfRule type="cellIs" priority="5" operator="between" dxfId="1">
      <formula>6</formula>
      <formula>11</formula>
    </cfRule>
    <cfRule type="cellIs" priority="6" operator="lessThanOrEqual" dxfId="2"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Scoring key</t>
        </is>
      </c>
    </row>
    <row r="3">
      <c r="A3" s="3" t="inlineStr">
        <is>
          <t>Scale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</row>
    <row r="4">
      <c r="A4" t="inlineStr">
        <is>
          <t>Severity</t>
        </is>
      </c>
      <c r="B4" t="inlineStr">
        <is>
          <t>Negligible</t>
        </is>
      </c>
      <c r="C4" t="inlineStr">
        <is>
          <t>Minor</t>
        </is>
      </c>
      <c r="D4" t="inlineStr">
        <is>
          <t>Serious</t>
        </is>
      </c>
      <c r="E4" t="inlineStr">
        <is>
          <t>Critical</t>
        </is>
      </c>
      <c r="F4" t="inlineStr">
        <is>
          <t>Catastrophic</t>
        </is>
      </c>
    </row>
    <row r="5">
      <c r="A5" t="inlineStr">
        <is>
          <t>Likelihood</t>
        </is>
      </c>
      <c r="B5" t="inlineStr">
        <is>
          <t>Improbable</t>
        </is>
      </c>
      <c r="C5" t="inlineStr">
        <is>
          <t>Remote</t>
        </is>
      </c>
      <c r="D5" t="inlineStr">
        <is>
          <t>Occasional</t>
        </is>
      </c>
      <c r="E5" t="inlineStr">
        <is>
          <t>Probable</t>
        </is>
      </c>
      <c r="F5" t="inlineStr">
        <is>
          <t>Frequent</t>
        </is>
      </c>
    </row>
    <row r="6">
      <c r="A6" t="inlineStr">
        <is>
          <t>Risk = Sev×Lik</t>
        </is>
      </c>
      <c r="B6" t="inlineStr">
        <is>
          <t>1-5 Low</t>
        </is>
      </c>
      <c r="C6" t="inlineStr">
        <is>
          <t>6-11 Medium</t>
        </is>
      </c>
      <c r="D6" t="inlineStr">
        <is>
          <t>12-25 High</t>
        </is>
      </c>
      <c r="E6" t="inlineStr"/>
      <c r="F6" t="inlineStr"/>
    </row>
    <row r="7">
      <c r="A7" t="inlineStr">
        <is>
          <t>C/I/A</t>
        </is>
      </c>
      <c r="B7" t="inlineStr">
        <is>
          <t>Confidentiality</t>
        </is>
      </c>
      <c r="C7" t="inlineStr">
        <is>
          <t>Integrity</t>
        </is>
      </c>
      <c r="D7" t="inlineStr">
        <is>
          <t>Availability</t>
        </is>
      </c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References</t>
        </is>
      </c>
    </row>
    <row r="3">
      <c r="A3" s="3" t="inlineStr">
        <is>
          <t>Standard</t>
        </is>
      </c>
      <c r="B3" s="3" t="inlineStr">
        <is>
          <t>Title</t>
        </is>
      </c>
    </row>
    <row r="4">
      <c r="A4" t="inlineStr">
        <is>
          <t>ISO 14971:2019</t>
        </is>
      </c>
      <c r="B4" t="inlineStr">
        <is>
          <t>Application of risk management to medical devices</t>
        </is>
      </c>
    </row>
    <row r="5">
      <c r="A5" t="inlineStr">
        <is>
          <t>ISO/TR 24971:2020</t>
        </is>
      </c>
      <c r="B5" t="inlineStr">
        <is>
          <t>Guidance on the application of ISO 14971</t>
        </is>
      </c>
    </row>
    <row r="6">
      <c r="A6" t="inlineStr">
        <is>
          <t>AAMI TIR57:2016</t>
        </is>
      </c>
      <c r="B6" t="inlineStr">
        <is>
          <t>Principles for medical device security risk management</t>
        </is>
      </c>
    </row>
    <row r="7">
      <c r="A7" t="inlineStr">
        <is>
          <t>ANSI/AAMI SW96:2023</t>
        </is>
      </c>
      <c r="B7" t="inlineStr">
        <is>
          <t>Security risk management for device manufacturers</t>
        </is>
      </c>
    </row>
    <row r="8">
      <c r="A8" t="inlineStr">
        <is>
          <t>FDA (2025)</t>
        </is>
      </c>
      <c r="B8" t="inlineStr">
        <is>
          <t>Cybersecurity in Medical Devices — premarket guidance</t>
        </is>
      </c>
    </row>
    <row r="9">
      <c r="A9" t="inlineStr">
        <is>
          <t>FDA (2016)</t>
        </is>
      </c>
      <c r="B9" t="inlineStr">
        <is>
          <t>Postmarket Management of Cybersecurity in Medical Devices</t>
        </is>
      </c>
    </row>
    <row r="10">
      <c r="A10" t="inlineStr">
        <is>
          <t>IEC 81001-5-1:2021</t>
        </is>
      </c>
      <c r="B10" t="inlineStr">
        <is>
          <t>Health software security activities in the lifecycle</t>
        </is>
      </c>
    </row>
    <row r="11">
      <c r="A11" t="inlineStr">
        <is>
          <t>NIST SP 800-30 Rev.1</t>
        </is>
      </c>
      <c r="B11" t="inlineStr">
        <is>
          <t>Guide for conducting risk assessments</t>
        </is>
      </c>
    </row>
    <row r="12">
      <c r="A12" t="inlineStr">
        <is>
          <t>NIST AI RMF 1.0</t>
        </is>
      </c>
      <c r="B12" t="inlineStr">
        <is>
          <t>AI risk management (for AI-enabled devices)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2026-06-28T20:19:04Z</dcterms:created>
  <dcterms:modified xmlns:dcterms="http://purl.org/dc/terms/" xmlns:xsi="http://www.w3.org/2001/XMLSchema-instance" xsi:type="dcterms:W3CDTF">2026-06-28T20:19:04Z</dcterms:modified>
</cp:coreProperties>
</file>