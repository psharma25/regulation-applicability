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cales" sheetId="2" state="visible" r:id="rId4"/>
    <sheet name="Threat Cata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<sst xmlns="http://schemas.openxmlformats.org/spreadsheetml/2006/main" count="178" uniqueCount="170">
  <si>
    <t xml:space="preserve">Technology Risk Assessment (Reputation / Financial / IP loss) — NIST / ISO 27005 / FAIR</t>
  </si>
  <si>
    <t xml:space="preserve">Risk ID</t>
  </si>
  <si>
    <t xml:space="preserve">Asset / system</t>
  </si>
  <si>
    <t xml:space="preserve">STRIDE category</t>
  </si>
  <si>
    <t xml:space="preserve">Threat / risk event</t>
  </si>
  <si>
    <t xml:space="preserve">Threat source / actor</t>
  </si>
  <si>
    <t xml:space="preserve">Vulnerability / cause</t>
  </si>
  <si>
    <t xml:space="preserve">Consequence</t>
  </si>
  <si>
    <t xml:space="preserve">Risk owner</t>
  </si>
  <si>
    <t xml:space="preserve">L</t>
  </si>
  <si>
    <t xml:space="preserve">Reputation Impact</t>
  </si>
  <si>
    <t xml:space="preserve">Financial Impact</t>
  </si>
  <si>
    <t xml:space="preserve">IP Loss Impact</t>
  </si>
  <si>
    <t xml:space="preserve">Aggregate Impact</t>
  </si>
  <si>
    <t xml:space="preserve">Inherent Score</t>
  </si>
  <si>
    <t xml:space="preserve">Inherent Level</t>
  </si>
  <si>
    <t xml:space="preserve">Acceptability</t>
  </si>
  <si>
    <t xml:space="preserve">Existing controls</t>
  </si>
  <si>
    <t xml:space="preserve">Additional control / mitigation</t>
  </si>
  <si>
    <t xml:space="preserve">Control type</t>
  </si>
  <si>
    <t xml:space="preserve">CVE / SBOM / ref</t>
  </si>
  <si>
    <t xml:space="preserve">L'</t>
  </si>
  <si>
    <t xml:space="preserve">Rep'</t>
  </si>
  <si>
    <t xml:space="preserve">Fin'</t>
  </si>
  <si>
    <t xml:space="preserve">IP'</t>
  </si>
  <si>
    <t xml:space="preserve">Agg Impact'</t>
  </si>
  <si>
    <t xml:space="preserve">Residual Score</t>
  </si>
  <si>
    <t xml:space="preserve">Residual Level</t>
  </si>
  <si>
    <t xml:space="preserve">Residual Acceptability</t>
  </si>
  <si>
    <t xml:space="preserve">Primary loss type</t>
  </si>
  <si>
    <t xml:space="preserve">Status</t>
  </si>
  <si>
    <t xml:space="preserve">TECH-001</t>
  </si>
  <si>
    <t xml:space="preserve">Customer database / web app</t>
  </si>
  <si>
    <t xml:space="preserve">Information disclosure</t>
  </si>
  <si>
    <t xml:space="preserve">Customer data breach (PII)</t>
  </si>
  <si>
    <t xml:space="preserve">External attacker</t>
  </si>
  <si>
    <t xml:space="preserve">Exploited web vulnerability; no WAF</t>
  </si>
  <si>
    <t xml:space="preserve">Regulatory fines + churn + brand damage</t>
  </si>
  <si>
    <t xml:space="preserve">CISO</t>
  </si>
  <si>
    <t xml:space="preserve">TLS in transit; basic logging</t>
  </si>
  <si>
    <t xml:space="preserve">WAF + encryption at rest + IR plan + quarterly pen-test</t>
  </si>
  <si>
    <t xml:space="preserve">Protective measure</t>
  </si>
  <si>
    <t xml:space="preserve">CVE-2024-XXXX; SBOM-3.1</t>
  </si>
  <si>
    <t xml:space="preserve">TECH-002</t>
  </si>
  <si>
    <t xml:space="preserve">Source-code repository</t>
  </si>
  <si>
    <t xml:space="preserve">IP theft</t>
  </si>
  <si>
    <t xml:space="preserve">Source-code / trade-secret theft</t>
  </si>
  <si>
    <t xml:space="preserve">Malicious insider</t>
  </si>
  <si>
    <t xml:space="preserve">Weak access controls; no DLP</t>
  </si>
  <si>
    <t xml:space="preserve">Loss of competitive advantage; IP erosion</t>
  </si>
  <si>
    <t xml:space="preserve">CTO</t>
  </si>
  <si>
    <t xml:space="preserve">SSO; repo permissions</t>
  </si>
  <si>
    <t xml:space="preserve">DLP + least-privilege + repo access monitoring + NDAs</t>
  </si>
  <si>
    <t xml:space="preserve">Detective control</t>
  </si>
  <si>
    <t xml:space="preserve">SBOM-3.1</t>
  </si>
  <si>
    <t xml:space="preserve">TECH-003</t>
  </si>
  <si>
    <t xml:space="preserve">Production SaaS platform</t>
  </si>
  <si>
    <t xml:space="preserve">Denial of service</t>
  </si>
  <si>
    <t xml:space="preserve">Critical SaaS outage</t>
  </si>
  <si>
    <t xml:space="preserve">External / botnet</t>
  </si>
  <si>
    <t xml:space="preserve">Single-region dependency; no failover</t>
  </si>
  <si>
    <t xml:space="preserve">SLA penalties + revenue loss + reputation</t>
  </si>
  <si>
    <t xml:space="preserve">VP Engineering</t>
  </si>
  <si>
    <t xml:space="preserve">CDN; autoscaling</t>
  </si>
  <si>
    <t xml:space="preserve">Multi-region HA + DR runbook + chaos testing</t>
  </si>
  <si>
    <t xml:space="preserve">Inherently secure design</t>
  </si>
  <si>
    <t xml:space="preserve">DR-PLAN-2</t>
  </si>
  <si>
    <t xml:space="preserve">TECH-004</t>
  </si>
  <si>
    <t xml:space="preserve">Software supply chain</t>
  </si>
  <si>
    <t xml:space="preserve">Supply chain</t>
  </si>
  <si>
    <t xml:space="preserve">Open-source licence / IP infringement</t>
  </si>
  <si>
    <t xml:space="preserve">Third-party dependency</t>
  </si>
  <si>
    <t xml:space="preserve">Unvetted copyleft dependency</t>
  </si>
  <si>
    <t xml:space="preserve">Forced disclosure of proprietary code; litigation</t>
  </si>
  <si>
    <t xml:space="preserve">Legal + Eng</t>
  </si>
  <si>
    <t xml:space="preserve">Manual review</t>
  </si>
  <si>
    <t xml:space="preserve">SBOM + automated licence scanning in CI + approval gate</t>
  </si>
  <si>
    <t xml:space="preserve">Procedural control</t>
  </si>
  <si>
    <t xml:space="preserve">SBOM-3.1; SCA-7</t>
  </si>
  <si>
    <t xml:space="preserve">Scoring Scales &amp; Risk Acceptability</t>
  </si>
  <si>
    <t xml:space="preserve">LIKELIHOOD (L)</t>
  </si>
  <si>
    <t xml:space="preserve">ACCEPTABILITY (Score = L x AggImpact, 1-25)</t>
  </si>
  <si>
    <t xml:space="preserve">Thresholds used by formulas (do not move):</t>
  </si>
  <si>
    <t xml:space="preserve">Intolerable &gt;=</t>
  </si>
  <si>
    <t xml:space="preserve">Rare</t>
  </si>
  <si>
    <t xml:space="preserve">Not expected in 5 yrs</t>
  </si>
  <si>
    <t xml:space="preserve">Intolerable</t>
  </si>
  <si>
    <t xml:space="preserve">Unacceptable - must reduce risk before proceeding</t>
  </si>
  <si>
    <t xml:space="preserve">High &gt;=</t>
  </si>
  <si>
    <t xml:space="preserve">Unlikely</t>
  </si>
  <si>
    <t xml:space="preserve">Once in 2-5 yrs</t>
  </si>
  <si>
    <t xml:space="preserve">High</t>
  </si>
  <si>
    <t xml:space="preserve">Undesirable - reduce as far as possible (ALARP); justify residual</t>
  </si>
  <si>
    <t xml:space="preserve">Medium &gt;=</t>
  </si>
  <si>
    <t xml:space="preserve">Possible</t>
  </si>
  <si>
    <t xml:space="preserve">Once a year</t>
  </si>
  <si>
    <t xml:space="preserve">Medium</t>
  </si>
  <si>
    <t xml:space="preserve">Acceptable with review / documented controls</t>
  </si>
  <si>
    <t xml:space="preserve">Likely</t>
  </si>
  <si>
    <t xml:space="preserve">Several times a year</t>
  </si>
  <si>
    <t xml:space="preserve">Low</t>
  </si>
  <si>
    <t xml:space="preserve">Broadly acceptable - no further action required</t>
  </si>
  <si>
    <t xml:space="preserve">Almost certain</t>
  </si>
  <si>
    <t xml:space="preserve">Monthly or more</t>
  </si>
  <si>
    <t xml:space="preserve">IMPACT (1-5) per loss dimension</t>
  </si>
  <si>
    <t xml:space="preserve">RISK MATRIX (cell = Impa x Like)</t>
  </si>
  <si>
    <t xml:space="preserve">Impact\Likelihood</t>
  </si>
  <si>
    <t xml:space="preserve">No external notice</t>
  </si>
  <si>
    <t xml:space="preserve">&lt; $50k</t>
  </si>
  <si>
    <t xml:space="preserve">No proprietary exposure</t>
  </si>
  <si>
    <t xml:space="preserve">Local complaints</t>
  </si>
  <si>
    <t xml:space="preserve">$50k-$500k</t>
  </si>
  <si>
    <t xml:space="preserve">Minor / non-core IP exposed</t>
  </si>
  <si>
    <t xml:space="preserve">Negative press / social</t>
  </si>
  <si>
    <t xml:space="preserve">$500k-$5M</t>
  </si>
  <si>
    <t xml:space="preserve">Some trade secrets at risk</t>
  </si>
  <si>
    <t xml:space="preserve">National media / churn</t>
  </si>
  <si>
    <t xml:space="preserve">$5M-$50M</t>
  </si>
  <si>
    <t xml:space="preserve">Core IP / source code exposed</t>
  </si>
  <si>
    <t xml:space="preserve">Brand crisis, lasting</t>
  </si>
  <si>
    <t xml:space="preserve">&gt; $50M</t>
  </si>
  <si>
    <t xml:space="preserve">Critical IP lost / patents void</t>
  </si>
  <si>
    <t xml:space="preserve">Aggregate Impact = MAX(Reputation, Financial, IP). Risk Score = Likelihood x Aggregate Impact.</t>
  </si>
  <si>
    <t xml:space="preserve">Threat Catalog — STRIDE / NIST / FAIR (mapped to loss types)</t>
  </si>
  <si>
    <t xml:space="preserve">Threat</t>
  </si>
  <si>
    <t xml:space="preserve">Example attack</t>
  </si>
  <si>
    <t xml:space="preserve">Affected asset</t>
  </si>
  <si>
    <t xml:space="preserve">Typical control</t>
  </si>
  <si>
    <t xml:space="preserve">Mapped loss types</t>
  </si>
  <si>
    <t xml:space="preserve">Spoofing</t>
  </si>
  <si>
    <t xml:space="preserve">Identity spoofing</t>
  </si>
  <si>
    <t xml:space="preserve">Credential phishing / token theft</t>
  </si>
  <si>
    <t xml:space="preserve">Authentication system</t>
  </si>
  <si>
    <t xml:space="preserve">MFA + anomaly detection</t>
  </si>
  <si>
    <t xml:space="preserve">Reputation, Financial</t>
  </si>
  <si>
    <t xml:space="preserve">Tampering</t>
  </si>
  <si>
    <t xml:space="preserve">Data / parameter tampering</t>
  </si>
  <si>
    <t xml:space="preserve">Modify therapy or config in transit</t>
  </si>
  <si>
    <t xml:space="preserve">Device / API</t>
  </si>
  <si>
    <t xml:space="preserve">Input validation + signed payloads</t>
  </si>
  <si>
    <t xml:space="preserve">Financial, IP</t>
  </si>
  <si>
    <t xml:space="preserve">Repudiation</t>
  </si>
  <si>
    <t xml:space="preserve">Action repudiation</t>
  </si>
  <si>
    <t xml:space="preserve">Missing or alterable audit logs</t>
  </si>
  <si>
    <t xml:space="preserve">Logging system</t>
  </si>
  <si>
    <t xml:space="preserve">Tamper-evident logging</t>
  </si>
  <si>
    <t xml:space="preserve">Financial</t>
  </si>
  <si>
    <t xml:space="preserve">Data breach</t>
  </si>
  <si>
    <t xml:space="preserve">PII / PHI exfiltration</t>
  </si>
  <si>
    <t xml:space="preserve">Customer database</t>
  </si>
  <si>
    <t xml:space="preserve">Encryption at rest + DLP</t>
  </si>
  <si>
    <t xml:space="preserve">Service outage</t>
  </si>
  <si>
    <t xml:space="preserve">Volumetric DDoS / resource exhaustion</t>
  </si>
  <si>
    <t xml:space="preserve">SaaS platform</t>
  </si>
  <si>
    <t xml:space="preserve">Rate limiting + multi-region HA</t>
  </si>
  <si>
    <t xml:space="preserve">Financial, Reputation</t>
  </si>
  <si>
    <t xml:space="preserve">Elevation of privilege</t>
  </si>
  <si>
    <t xml:space="preserve">Privilege escalation</t>
  </si>
  <si>
    <t xml:space="preserve">Exploit + lateral movement</t>
  </si>
  <si>
    <t xml:space="preserve">Servers / cloud accounts</t>
  </si>
  <si>
    <t xml:space="preserve">Least privilege + patching</t>
  </si>
  <si>
    <t xml:space="preserve">Dependency compromise</t>
  </si>
  <si>
    <t xml:space="preserve">Malicious or copyleft dependency</t>
  </si>
  <si>
    <t xml:space="preserve">Build pipeline</t>
  </si>
  <si>
    <t xml:space="preserve">SBOM + licence scan + SLSA provenance</t>
  </si>
  <si>
    <t xml:space="preserve">IP, Financial</t>
  </si>
  <si>
    <t xml:space="preserve">Trade-secret exfiltration</t>
  </si>
  <si>
    <t xml:space="preserve">Insider copies source code</t>
  </si>
  <si>
    <t xml:space="preserve">Access monitoring + DLP + NDA</t>
  </si>
  <si>
    <t xml:space="preserve">IP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</si>
</sst>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FFD966"/>
        <bgColor rgb="FFFFEB9C"/>
      </patternFill>
    </fill>
    <fill>
      <patternFill patternType="solid">
        <fgColor rgb="FFFFEB9C"/>
        <bgColor rgb="FFFFD966"/>
      </patternFill>
    </fill>
    <fill>
      <patternFill patternType="solid">
        <fgColor rgb="FFC6EFCE"/>
        <bgColor rgb="FFCCFFFF"/>
      </patternFill>
    </fill>
    <fill>
      <patternFill patternType="solid">
        <fgColor rgb="FFF2F5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7" min="6" style="0" width="22"/>
    <col collapsed="false" customWidth="true" hidden="false" outlineLevel="0" max="8" min="8" style="0" width="12"/>
    <col collapsed="false" customWidth="true" hidden="false" outlineLevel="0" max="9" min="9" style="0" width="5"/>
    <col collapsed="false" customWidth="true" hidden="false" outlineLevel="0" max="13" min="10" style="0" width="11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22"/>
    <col collapsed="false" customWidth="true" hidden="false" outlineLevel="0" max="18" min="18" style="0" width="26"/>
    <col collapsed="false" customWidth="true" hidden="false" outlineLevel="0" max="20" min="19" style="0" width="16"/>
    <col collapsed="false" customWidth="true" hidden="false" outlineLevel="0" max="21" min="21" style="0" width="5"/>
    <col collapsed="false" customWidth="true" hidden="false" outlineLevel="0" max="24" min="22" style="0" width="6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12"/>
    <col collapsed="false" customWidth="true" hidden="false" outlineLevel="0" max="29" min="28" style="0" width="13"/>
    <col collapsed="false" customWidth="true" hidden="false" outlineLevel="0" max="30" min="30" style="0" width="10"/>
  </cols>
  <sheetData>
    <row r="1" customFormat="false" ht="1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customFormat="false" ht="55.5" hidden="false" customHeight="true" outlineLevel="0" collapsed="false">
      <c r="A3" s="3" t="s">
        <v>31</v>
      </c>
      <c r="B3" s="3" t="s">
        <v>32</v>
      </c>
      <c r="C3" s="4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5" t="n">
        <v>3</v>
      </c>
      <c r="J3" s="5" t="n">
        <v>5</v>
      </c>
      <c r="K3" s="5" t="n">
        <v>4</v>
      </c>
      <c r="L3" s="5" t="n">
        <v>2</v>
      </c>
      <c r="M3" s="6" t="n">
        <f aca="false">IF(COUNT(J3:L3)=0,"",MAX(J3:L3))</f>
        <v>5</v>
      </c>
      <c r="N3" s="6" t="n">
        <f aca="false">IF(OR(I3="",M3=""),"",I3*M3)</f>
        <v>15</v>
      </c>
      <c r="O3" s="6" t="str">
        <f aca="false">IF(N3="","",IF(N3&gt;=Scales!$P$5,"Intolerable",IF(N3&gt;=Scales!$P$6,"High",IF(N3&gt;=Scales!$P$7,"Medium","Low"))))</f>
        <v>High</v>
      </c>
      <c r="P3" s="6" t="str">
        <f aca="false">IF(N3="","",IF(N3&gt;=Scales!$P$5,"Unacceptable",IF(N3&gt;=Scales!$P$6,"Reduce (ALARP)",IF(N3&gt;=Scales!$P$7,"Acceptable w/ review","Acceptable"))))</f>
        <v>Reduce (ALARP)</v>
      </c>
      <c r="Q3" s="3" t="s">
        <v>39</v>
      </c>
      <c r="R3" s="3" t="s">
        <v>40</v>
      </c>
      <c r="S3" s="4" t="s">
        <v>41</v>
      </c>
      <c r="T3" s="3" t="s">
        <v>42</v>
      </c>
      <c r="U3" s="5" t="n">
        <v>2</v>
      </c>
      <c r="V3" s="5" t="n">
        <v>3</v>
      </c>
      <c r="W3" s="5" t="n">
        <v>3</v>
      </c>
      <c r="X3" s="5" t="n">
        <v>2</v>
      </c>
      <c r="Y3" s="6" t="n">
        <f aca="false">IF(COUNT(V3:X3)=0,"",MAX(V3:X3))</f>
        <v>3</v>
      </c>
      <c r="Z3" s="6" t="n">
        <f aca="false">IF(OR(U3="",Y3=""),"",U3*Y3)</f>
        <v>6</v>
      </c>
      <c r="AA3" s="6" t="str">
        <f aca="false">IF(Z3="","",IF(Z3&gt;=Scales!$P$5,"Intolerable",IF(Z3&gt;=Scales!$P$6,"High",IF(Z3&gt;=Scales!$P$7,"Medium","Low"))))</f>
        <v>Medium</v>
      </c>
      <c r="AB3" s="6" t="str">
        <f aca="false">IF(Z3="","",IF(Z3&gt;=Scales!$P$5,"Unacceptable",IF(Z3&gt;=Scales!$P$6,"Reduce (ALARP)",IF(Z3&gt;=Scales!$P$7,"Acceptable w/ review","Acceptable"))))</f>
        <v>Acceptable w/ review</v>
      </c>
      <c r="AC3" s="6" t="str">
        <f aca="false">IF(M3="","",IF(AND(J3&gt;=K3,J3&gt;=L3),"Reputation",IF(AND(K3&gt;=J3,K3&gt;=L3),"Financial","IP")))</f>
        <v>Reputation</v>
      </c>
      <c r="AD3" s="6" t="str">
        <f aca="false">IF(AB3="","",IF(OR(AB3="Unacceptable",P3="Unacceptable"),"OPEN","Monitor"))</f>
        <v>Monitor</v>
      </c>
    </row>
    <row r="4" customFormat="false" ht="55.5" hidden="false" customHeight="true" outlineLevel="0" collapsed="false">
      <c r="A4" s="3" t="s">
        <v>43</v>
      </c>
      <c r="B4" s="3" t="s">
        <v>44</v>
      </c>
      <c r="C4" s="4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5" t="n">
        <v>2</v>
      </c>
      <c r="J4" s="5" t="n">
        <v>3</v>
      </c>
      <c r="K4" s="5" t="n">
        <v>3</v>
      </c>
      <c r="L4" s="5" t="n">
        <v>5</v>
      </c>
      <c r="M4" s="6" t="n">
        <f aca="false">IF(COUNT(J4:L4)=0,"",MAX(J4:L4))</f>
        <v>5</v>
      </c>
      <c r="N4" s="6" t="n">
        <f aca="false">IF(OR(I4="",M4=""),"",I4*M4)</f>
        <v>10</v>
      </c>
      <c r="O4" s="6" t="str">
        <f aca="false">IF(N4="","",IF(N4&gt;=Scales!$P$5,"Intolerable",IF(N4&gt;=Scales!$P$6,"High",IF(N4&gt;=Scales!$P$7,"Medium","Low"))))</f>
        <v>High</v>
      </c>
      <c r="P4" s="6" t="str">
        <f aca="false">IF(N4="","",IF(N4&gt;=Scales!$P$5,"Unacceptable",IF(N4&gt;=Scales!$P$6,"Reduce (ALARP)",IF(N4&gt;=Scales!$P$7,"Acceptable w/ review","Acceptable"))))</f>
        <v>Reduce (ALARP)</v>
      </c>
      <c r="Q4" s="3" t="s">
        <v>51</v>
      </c>
      <c r="R4" s="3" t="s">
        <v>52</v>
      </c>
      <c r="S4" s="4" t="s">
        <v>53</v>
      </c>
      <c r="T4" s="3" t="s">
        <v>54</v>
      </c>
      <c r="U4" s="5" t="n">
        <v>1</v>
      </c>
      <c r="V4" s="5" t="n">
        <v>2</v>
      </c>
      <c r="W4" s="5" t="n">
        <v>2</v>
      </c>
      <c r="X4" s="5" t="n">
        <v>3</v>
      </c>
      <c r="Y4" s="6" t="n">
        <f aca="false">IF(COUNT(V4:X4)=0,"",MAX(V4:X4))</f>
        <v>3</v>
      </c>
      <c r="Z4" s="6" t="n">
        <f aca="false">IF(OR(U4="",Y4=""),"",U4*Y4)</f>
        <v>3</v>
      </c>
      <c r="AA4" s="6" t="str">
        <f aca="false">IF(Z4="","",IF(Z4&gt;=Scales!$P$5,"Intolerable",IF(Z4&gt;=Scales!$P$6,"High",IF(Z4&gt;=Scales!$P$7,"Medium","Low"))))</f>
        <v>Low</v>
      </c>
      <c r="AB4" s="6" t="str">
        <f aca="false">IF(Z4="","",IF(Z4&gt;=Scales!$P$5,"Unacceptable",IF(Z4&gt;=Scales!$P$6,"Reduce (ALARP)",IF(Z4&gt;=Scales!$P$7,"Acceptable w/ review","Acceptable"))))</f>
        <v>Acceptable</v>
      </c>
      <c r="AC4" s="6" t="str">
        <f aca="false">IF(M4="","",IF(AND(J4&gt;=K4,J4&gt;=L4),"Reputation",IF(AND(K4&gt;=J4,K4&gt;=L4),"Financial","IP")))</f>
        <v>IP</v>
      </c>
      <c r="AD4" s="6" t="str">
        <f aca="false">IF(AB4="","",IF(OR(AB4="Unacceptable",P4="Unacceptable"),"OPEN","Monitor"))</f>
        <v>Monitor</v>
      </c>
    </row>
    <row r="5" customFormat="false" ht="55.5" hidden="false" customHeight="true" outlineLevel="0" collapsed="false">
      <c r="A5" s="3" t="s">
        <v>55</v>
      </c>
      <c r="B5" s="3" t="s">
        <v>56</v>
      </c>
      <c r="C5" s="4" t="s">
        <v>57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62</v>
      </c>
      <c r="I5" s="5" t="n">
        <v>3</v>
      </c>
      <c r="J5" s="5" t="n">
        <v>4</v>
      </c>
      <c r="K5" s="5" t="n">
        <v>4</v>
      </c>
      <c r="L5" s="5" t="n">
        <v>1</v>
      </c>
      <c r="M5" s="6" t="n">
        <f aca="false">IF(COUNT(J5:L5)=0,"",MAX(J5:L5))</f>
        <v>4</v>
      </c>
      <c r="N5" s="6" t="n">
        <f aca="false">IF(OR(I5="",M5=""),"",I5*M5)</f>
        <v>12</v>
      </c>
      <c r="O5" s="6" t="str">
        <f aca="false">IF(N5="","",IF(N5&gt;=Scales!$P$5,"Intolerable",IF(N5&gt;=Scales!$P$6,"High",IF(N5&gt;=Scales!$P$7,"Medium","Low"))))</f>
        <v>High</v>
      </c>
      <c r="P5" s="6" t="str">
        <f aca="false">IF(N5="","",IF(N5&gt;=Scales!$P$5,"Unacceptable",IF(N5&gt;=Scales!$P$6,"Reduce (ALARP)",IF(N5&gt;=Scales!$P$7,"Acceptable w/ review","Acceptable"))))</f>
        <v>Reduce (ALARP)</v>
      </c>
      <c r="Q5" s="3" t="s">
        <v>63</v>
      </c>
      <c r="R5" s="3" t="s">
        <v>64</v>
      </c>
      <c r="S5" s="4" t="s">
        <v>65</v>
      </c>
      <c r="T5" s="3" t="s">
        <v>66</v>
      </c>
      <c r="U5" s="5" t="n">
        <v>2</v>
      </c>
      <c r="V5" s="5" t="n">
        <v>3</v>
      </c>
      <c r="W5" s="5" t="n">
        <v>3</v>
      </c>
      <c r="X5" s="5" t="n">
        <v>1</v>
      </c>
      <c r="Y5" s="6" t="n">
        <f aca="false">IF(COUNT(V5:X5)=0,"",MAX(V5:X5))</f>
        <v>3</v>
      </c>
      <c r="Z5" s="6" t="n">
        <f aca="false">IF(OR(U5="",Y5=""),"",U5*Y5)</f>
        <v>6</v>
      </c>
      <c r="AA5" s="6" t="str">
        <f aca="false">IF(Z5="","",IF(Z5&gt;=Scales!$P$5,"Intolerable",IF(Z5&gt;=Scales!$P$6,"High",IF(Z5&gt;=Scales!$P$7,"Medium","Low"))))</f>
        <v>Medium</v>
      </c>
      <c r="AB5" s="6" t="str">
        <f aca="false">IF(Z5="","",IF(Z5&gt;=Scales!$P$5,"Unacceptable",IF(Z5&gt;=Scales!$P$6,"Reduce (ALARP)",IF(Z5&gt;=Scales!$P$7,"Acceptable w/ review","Acceptable"))))</f>
        <v>Acceptable w/ review</v>
      </c>
      <c r="AC5" s="6" t="str">
        <f aca="false">IF(M5="","",IF(AND(J5&gt;=K5,J5&gt;=L5),"Reputation",IF(AND(K5&gt;=J5,K5&gt;=L5),"Financial","IP")))</f>
        <v>Reputation</v>
      </c>
      <c r="AD5" s="6" t="str">
        <f aca="false">IF(AB5="","",IF(OR(AB5="Unacceptable",P5="Unacceptable"),"OPEN","Monitor"))</f>
        <v>Monitor</v>
      </c>
    </row>
    <row r="6" customFormat="false" ht="55.5" hidden="false" customHeight="true" outlineLevel="0" collapsed="false">
      <c r="A6" s="3" t="s">
        <v>67</v>
      </c>
      <c r="B6" s="3" t="s">
        <v>68</v>
      </c>
      <c r="C6" s="4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74</v>
      </c>
      <c r="I6" s="5" t="n">
        <v>3</v>
      </c>
      <c r="J6" s="5" t="n">
        <v>2</v>
      </c>
      <c r="K6" s="5" t="n">
        <v>3</v>
      </c>
      <c r="L6" s="5" t="n">
        <v>4</v>
      </c>
      <c r="M6" s="6" t="n">
        <f aca="false">IF(COUNT(J6:L6)=0,"",MAX(J6:L6))</f>
        <v>4</v>
      </c>
      <c r="N6" s="6" t="n">
        <f aca="false">IF(OR(I6="",M6=""),"",I6*M6)</f>
        <v>12</v>
      </c>
      <c r="O6" s="6" t="str">
        <f aca="false">IF(N6="","",IF(N6&gt;=Scales!$P$5,"Intolerable",IF(N6&gt;=Scales!$P$6,"High",IF(N6&gt;=Scales!$P$7,"Medium","Low"))))</f>
        <v>High</v>
      </c>
      <c r="P6" s="6" t="str">
        <f aca="false">IF(N6="","",IF(N6&gt;=Scales!$P$5,"Unacceptable",IF(N6&gt;=Scales!$P$6,"Reduce (ALARP)",IF(N6&gt;=Scales!$P$7,"Acceptable w/ review","Acceptable"))))</f>
        <v>Reduce (ALARP)</v>
      </c>
      <c r="Q6" s="3" t="s">
        <v>75</v>
      </c>
      <c r="R6" s="3" t="s">
        <v>76</v>
      </c>
      <c r="S6" s="4" t="s">
        <v>77</v>
      </c>
      <c r="T6" s="3" t="s">
        <v>78</v>
      </c>
      <c r="U6" s="5" t="n">
        <v>1</v>
      </c>
      <c r="V6" s="5" t="n">
        <v>1</v>
      </c>
      <c r="W6" s="5" t="n">
        <v>2</v>
      </c>
      <c r="X6" s="5" t="n">
        <v>2</v>
      </c>
      <c r="Y6" s="6" t="n">
        <f aca="false">IF(COUNT(V6:X6)=0,"",MAX(V6:X6))</f>
        <v>2</v>
      </c>
      <c r="Z6" s="6" t="n">
        <f aca="false">IF(OR(U6="",Y6=""),"",U6*Y6)</f>
        <v>2</v>
      </c>
      <c r="AA6" s="6" t="str">
        <f aca="false">IF(Z6="","",IF(Z6&gt;=Scales!$P$5,"Intolerable",IF(Z6&gt;=Scales!$P$6,"High",IF(Z6&gt;=Scales!$P$7,"Medium","Low"))))</f>
        <v>Low</v>
      </c>
      <c r="AB6" s="6" t="str">
        <f aca="false">IF(Z6="","",IF(Z6&gt;=Scales!$P$5,"Unacceptable",IF(Z6&gt;=Scales!$P$6,"Reduce (ALARP)",IF(Z6&gt;=Scales!$P$7,"Acceptable w/ review","Acceptable"))))</f>
        <v>Acceptable</v>
      </c>
      <c r="AC6" s="6" t="str">
        <f aca="false">IF(M6="","",IF(AND(J6&gt;=K6,J6&gt;=L6),"Reputation",IF(AND(K6&gt;=J6,K6&gt;=L6),"Financial","IP")))</f>
        <v>IP</v>
      </c>
      <c r="AD6" s="6" t="str">
        <f aca="false">IF(AB6="","",IF(OR(AB6="Unacceptable",P6="Unacceptable"),"OPEN","Monitor"))</f>
        <v>Monitor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6" t="str">
        <f aca="false">IF(COUNT(J7:L7)=0,"",MAX(J7:L7))</f>
        <v/>
      </c>
      <c r="N7" s="6" t="str">
        <f aca="false">IF(OR(I7="",M7=""),"",I7*M7)</f>
        <v/>
      </c>
      <c r="O7" s="6" t="str">
        <f aca="false">IF(N7="","",IF(N7&gt;=Scales!$P$5,"Intolerable",IF(N7&gt;=Scales!$P$6,"High",IF(N7&gt;=Scales!$P$7,"Medium","Low"))))</f>
        <v/>
      </c>
      <c r="P7" s="6" t="str">
        <f aca="false">IF(N7="","",IF(N7&gt;=Scales!$P$5,"Unacceptable",IF(N7&gt;=Scales!$P$6,"Reduce (ALARP)",IF(N7&gt;=Scales!$P$7,"Acceptable w/ review","Acceptable"))))</f>
        <v/>
      </c>
      <c r="Q7" s="7"/>
      <c r="R7" s="7"/>
      <c r="S7" s="7"/>
      <c r="T7" s="7"/>
      <c r="U7" s="7"/>
      <c r="V7" s="7"/>
      <c r="W7" s="7"/>
      <c r="X7" s="7"/>
      <c r="Y7" s="6" t="str">
        <f aca="false">IF(COUNT(V7:X7)=0,"",MAX(V7:X7))</f>
        <v/>
      </c>
      <c r="Z7" s="6" t="str">
        <f aca="false">IF(OR(U7="",Y7=""),"",U7*Y7)</f>
        <v/>
      </c>
      <c r="AA7" s="6" t="str">
        <f aca="false">IF(Z7="","",IF(Z7&gt;=Scales!$P$5,"Intolerable",IF(Z7&gt;=Scales!$P$6,"High",IF(Z7&gt;=Scales!$P$7,"Medium","Low"))))</f>
        <v/>
      </c>
      <c r="AB7" s="6" t="str">
        <f aca="false">IF(Z7="","",IF(Z7&gt;=Scales!$P$5,"Unacceptable",IF(Z7&gt;=Scales!$P$6,"Reduce (ALARP)",IF(Z7&gt;=Scales!$P$7,"Acceptable w/ review","Acceptable"))))</f>
        <v/>
      </c>
      <c r="AC7" s="6" t="str">
        <f aca="false">IF(M7="","",IF(AND(J7&gt;=K7,J7&gt;=L7),"Reputation",IF(AND(K7&gt;=J7,K7&gt;=L7),"Financial","IP")))</f>
        <v/>
      </c>
      <c r="AD7" s="6" t="str">
        <f aca="false">IF(AB7="","",IF(OR(AB7="Unacceptable",P7="Unacceptable"),"OPEN","Monitor"))</f>
        <v/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6" t="str">
        <f aca="false">IF(COUNT(J8:L8)=0,"",MAX(J8:L8))</f>
        <v/>
      </c>
      <c r="N8" s="6" t="str">
        <f aca="false">IF(OR(I8="",M8=""),"",I8*M8)</f>
        <v/>
      </c>
      <c r="O8" s="6" t="str">
        <f aca="false">IF(N8="","",IF(N8&gt;=Scales!$P$5,"Intolerable",IF(N8&gt;=Scales!$P$6,"High",IF(N8&gt;=Scales!$P$7,"Medium","Low"))))</f>
        <v/>
      </c>
      <c r="P8" s="6" t="str">
        <f aca="false">IF(N8="","",IF(N8&gt;=Scales!$P$5,"Unacceptable",IF(N8&gt;=Scales!$P$6,"Reduce (ALARP)",IF(N8&gt;=Scales!$P$7,"Acceptable w/ review","Acceptable"))))</f>
        <v/>
      </c>
      <c r="Q8" s="7"/>
      <c r="R8" s="7"/>
      <c r="S8" s="7"/>
      <c r="T8" s="7"/>
      <c r="U8" s="7"/>
      <c r="V8" s="7"/>
      <c r="W8" s="7"/>
      <c r="X8" s="7"/>
      <c r="Y8" s="6" t="str">
        <f aca="false">IF(COUNT(V8:X8)=0,"",MAX(V8:X8))</f>
        <v/>
      </c>
      <c r="Z8" s="6" t="str">
        <f aca="false">IF(OR(U8="",Y8=""),"",U8*Y8)</f>
        <v/>
      </c>
      <c r="AA8" s="6" t="str">
        <f aca="false">IF(Z8="","",IF(Z8&gt;=Scales!$P$5,"Intolerable",IF(Z8&gt;=Scales!$P$6,"High",IF(Z8&gt;=Scales!$P$7,"Medium","Low"))))</f>
        <v/>
      </c>
      <c r="AB8" s="6" t="str">
        <f aca="false">IF(Z8="","",IF(Z8&gt;=Scales!$P$5,"Unacceptable",IF(Z8&gt;=Scales!$P$6,"Reduce (ALARP)",IF(Z8&gt;=Scales!$P$7,"Acceptable w/ review","Acceptable"))))</f>
        <v/>
      </c>
      <c r="AC8" s="6" t="str">
        <f aca="false">IF(M8="","",IF(AND(J8&gt;=K8,J8&gt;=L8),"Reputation",IF(AND(K8&gt;=J8,K8&gt;=L8),"Financial","IP")))</f>
        <v/>
      </c>
      <c r="AD8" s="6" t="str">
        <f aca="false">IF(AB8="","",IF(OR(AB8="Unacceptable",P8="Unacceptable"),"OPEN","Monitor"))</f>
        <v/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6" t="str">
        <f aca="false">IF(COUNT(J9:L9)=0,"",MAX(J9:L9))</f>
        <v/>
      </c>
      <c r="N9" s="6" t="str">
        <f aca="false">IF(OR(I9="",M9=""),"",I9*M9)</f>
        <v/>
      </c>
      <c r="O9" s="6" t="str">
        <f aca="false">IF(N9="","",IF(N9&gt;=Scales!$P$5,"Intolerable",IF(N9&gt;=Scales!$P$6,"High",IF(N9&gt;=Scales!$P$7,"Medium","Low"))))</f>
        <v/>
      </c>
      <c r="P9" s="6" t="str">
        <f aca="false">IF(N9="","",IF(N9&gt;=Scales!$P$5,"Unacceptable",IF(N9&gt;=Scales!$P$6,"Reduce (ALARP)",IF(N9&gt;=Scales!$P$7,"Acceptable w/ review","Acceptable"))))</f>
        <v/>
      </c>
      <c r="Q9" s="7"/>
      <c r="R9" s="7"/>
      <c r="S9" s="7"/>
      <c r="T9" s="7"/>
      <c r="U9" s="7"/>
      <c r="V9" s="7"/>
      <c r="W9" s="7"/>
      <c r="X9" s="7"/>
      <c r="Y9" s="6" t="str">
        <f aca="false">IF(COUNT(V9:X9)=0,"",MAX(V9:X9))</f>
        <v/>
      </c>
      <c r="Z9" s="6" t="str">
        <f aca="false">IF(OR(U9="",Y9=""),"",U9*Y9)</f>
        <v/>
      </c>
      <c r="AA9" s="6" t="str">
        <f aca="false">IF(Z9="","",IF(Z9&gt;=Scales!$P$5,"Intolerable",IF(Z9&gt;=Scales!$P$6,"High",IF(Z9&gt;=Scales!$P$7,"Medium","Low"))))</f>
        <v/>
      </c>
      <c r="AB9" s="6" t="str">
        <f aca="false">IF(Z9="","",IF(Z9&gt;=Scales!$P$5,"Unacceptable",IF(Z9&gt;=Scales!$P$6,"Reduce (ALARP)",IF(Z9&gt;=Scales!$P$7,"Acceptable w/ review","Acceptable"))))</f>
        <v/>
      </c>
      <c r="AC9" s="6" t="str">
        <f aca="false">IF(M9="","",IF(AND(J9&gt;=K9,J9&gt;=L9),"Reputation",IF(AND(K9&gt;=J9,K9&gt;=L9),"Financial","IP")))</f>
        <v/>
      </c>
      <c r="AD9" s="6" t="str">
        <f aca="false">IF(AB9="","",IF(OR(AB9="Unacceptable",P9="Unacceptable"),"OPEN","Monitor"))</f>
        <v/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6" t="str">
        <f aca="false">IF(COUNT(J10:L10)=0,"",MAX(J10:L10))</f>
        <v/>
      </c>
      <c r="N10" s="6" t="str">
        <f aca="false">IF(OR(I10="",M10=""),"",I10*M10)</f>
        <v/>
      </c>
      <c r="O10" s="6" t="str">
        <f aca="false">IF(N10="","",IF(N10&gt;=Scales!$P$5,"Intolerable",IF(N10&gt;=Scales!$P$6,"High",IF(N10&gt;=Scales!$P$7,"Medium","Low"))))</f>
        <v/>
      </c>
      <c r="P10" s="6" t="str">
        <f aca="false">IF(N10="","",IF(N10&gt;=Scales!$P$5,"Unacceptable",IF(N10&gt;=Scales!$P$6,"Reduce (ALARP)",IF(N10&gt;=Scales!$P$7,"Acceptable w/ review","Acceptable"))))</f>
        <v/>
      </c>
      <c r="Q10" s="7"/>
      <c r="R10" s="7"/>
      <c r="S10" s="7"/>
      <c r="T10" s="7"/>
      <c r="U10" s="7"/>
      <c r="V10" s="7"/>
      <c r="W10" s="7"/>
      <c r="X10" s="7"/>
      <c r="Y10" s="6" t="str">
        <f aca="false">IF(COUNT(V10:X10)=0,"",MAX(V10:X10))</f>
        <v/>
      </c>
      <c r="Z10" s="6" t="str">
        <f aca="false">IF(OR(U10="",Y10=""),"",U10*Y10)</f>
        <v/>
      </c>
      <c r="AA10" s="6" t="str">
        <f aca="false">IF(Z10="","",IF(Z10&gt;=Scales!$P$5,"Intolerable",IF(Z10&gt;=Scales!$P$6,"High",IF(Z10&gt;=Scales!$P$7,"Medium","Low"))))</f>
        <v/>
      </c>
      <c r="AB10" s="6" t="str">
        <f aca="false">IF(Z10="","",IF(Z10&gt;=Scales!$P$5,"Unacceptable",IF(Z10&gt;=Scales!$P$6,"Reduce (ALARP)",IF(Z10&gt;=Scales!$P$7,"Acceptable w/ review","Acceptable"))))</f>
        <v/>
      </c>
      <c r="AC10" s="6" t="str">
        <f aca="false">IF(M10="","",IF(AND(J10&gt;=K10,J10&gt;=L10),"Reputation",IF(AND(K10&gt;=J10,K10&gt;=L10),"Financial","IP")))</f>
        <v/>
      </c>
      <c r="AD10" s="6" t="str">
        <f aca="false">IF(AB10="","",IF(OR(AB10="Unacceptable",P10="Unacceptable"),"OPEN","Monitor"))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6" t="str">
        <f aca="false">IF(COUNT(J11:L11)=0,"",MAX(J11:L11))</f>
        <v/>
      </c>
      <c r="N11" s="6" t="str">
        <f aca="false">IF(OR(I11="",M11=""),"",I11*M11)</f>
        <v/>
      </c>
      <c r="O11" s="6" t="str">
        <f aca="false">IF(N11="","",IF(N11&gt;=Scales!$P$5,"Intolerable",IF(N11&gt;=Scales!$P$6,"High",IF(N11&gt;=Scales!$P$7,"Medium","Low"))))</f>
        <v/>
      </c>
      <c r="P11" s="6" t="str">
        <f aca="false">IF(N11="","",IF(N11&gt;=Scales!$P$5,"Unacceptable",IF(N11&gt;=Scales!$P$6,"Reduce (ALARP)",IF(N11&gt;=Scales!$P$7,"Acceptable w/ review","Acceptable"))))</f>
        <v/>
      </c>
      <c r="Q11" s="7"/>
      <c r="R11" s="7"/>
      <c r="S11" s="7"/>
      <c r="T11" s="7"/>
      <c r="U11" s="7"/>
      <c r="V11" s="7"/>
      <c r="W11" s="7"/>
      <c r="X11" s="7"/>
      <c r="Y11" s="6" t="str">
        <f aca="false">IF(COUNT(V11:X11)=0,"",MAX(V11:X11))</f>
        <v/>
      </c>
      <c r="Z11" s="6" t="str">
        <f aca="false">IF(OR(U11="",Y11=""),"",U11*Y11)</f>
        <v/>
      </c>
      <c r="AA11" s="6" t="str">
        <f aca="false">IF(Z11="","",IF(Z11&gt;=Scales!$P$5,"Intolerable",IF(Z11&gt;=Scales!$P$6,"High",IF(Z11&gt;=Scales!$P$7,"Medium","Low"))))</f>
        <v/>
      </c>
      <c r="AB11" s="6" t="str">
        <f aca="false">IF(Z11="","",IF(Z11&gt;=Scales!$P$5,"Unacceptable",IF(Z11&gt;=Scales!$P$6,"Reduce (ALARP)",IF(Z11&gt;=Scales!$P$7,"Acceptable w/ review","Acceptable"))))</f>
        <v/>
      </c>
      <c r="AC11" s="6" t="str">
        <f aca="false">IF(M11="","",IF(AND(J11&gt;=K11,J11&gt;=L11),"Reputation",IF(AND(K11&gt;=J11,K11&gt;=L11),"Financial","IP")))</f>
        <v/>
      </c>
      <c r="AD11" s="6" t="str">
        <f aca="false">IF(AB11="","",IF(OR(AB11="Unacceptable",P11="Unacceptable"),"OPEN","Monitor"))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6" t="str">
        <f aca="false">IF(COUNT(J12:L12)=0,"",MAX(J12:L12))</f>
        <v/>
      </c>
      <c r="N12" s="6" t="str">
        <f aca="false">IF(OR(I12="",M12=""),"",I12*M12)</f>
        <v/>
      </c>
      <c r="O12" s="6" t="str">
        <f aca="false">IF(N12="","",IF(N12&gt;=Scales!$P$5,"Intolerable",IF(N12&gt;=Scales!$P$6,"High",IF(N12&gt;=Scales!$P$7,"Medium","Low"))))</f>
        <v/>
      </c>
      <c r="P12" s="6" t="str">
        <f aca="false">IF(N12="","",IF(N12&gt;=Scales!$P$5,"Unacceptable",IF(N12&gt;=Scales!$P$6,"Reduce (ALARP)",IF(N12&gt;=Scales!$P$7,"Acceptable w/ review","Acceptable"))))</f>
        <v/>
      </c>
      <c r="Q12" s="7"/>
      <c r="R12" s="7"/>
      <c r="S12" s="7"/>
      <c r="T12" s="7"/>
      <c r="U12" s="7"/>
      <c r="V12" s="7"/>
      <c r="W12" s="7"/>
      <c r="X12" s="7"/>
      <c r="Y12" s="6" t="str">
        <f aca="false">IF(COUNT(V12:X12)=0,"",MAX(V12:X12))</f>
        <v/>
      </c>
      <c r="Z12" s="6" t="str">
        <f aca="false">IF(OR(U12="",Y12=""),"",U12*Y12)</f>
        <v/>
      </c>
      <c r="AA12" s="6" t="str">
        <f aca="false">IF(Z12="","",IF(Z12&gt;=Scales!$P$5,"Intolerable",IF(Z12&gt;=Scales!$P$6,"High",IF(Z12&gt;=Scales!$P$7,"Medium","Low"))))</f>
        <v/>
      </c>
      <c r="AB12" s="6" t="str">
        <f aca="false">IF(Z12="","",IF(Z12&gt;=Scales!$P$5,"Unacceptable",IF(Z12&gt;=Scales!$P$6,"Reduce (ALARP)",IF(Z12&gt;=Scales!$P$7,"Acceptable w/ review","Acceptable"))))</f>
        <v/>
      </c>
      <c r="AC12" s="6" t="str">
        <f aca="false">IF(M12="","",IF(AND(J12&gt;=K12,J12&gt;=L12),"Reputation",IF(AND(K12&gt;=J12,K12&gt;=L12),"Financial","IP")))</f>
        <v/>
      </c>
      <c r="AD12" s="6" t="str">
        <f aca="false">IF(AB12="","",IF(OR(AB12="Unacceptable",P12="Unacceptable"),"OPEN","Monitor"))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6" t="str">
        <f aca="false">IF(COUNT(J13:L13)=0,"",MAX(J13:L13))</f>
        <v/>
      </c>
      <c r="N13" s="6" t="str">
        <f aca="false">IF(OR(I13="",M13=""),"",I13*M13)</f>
        <v/>
      </c>
      <c r="O13" s="6" t="str">
        <f aca="false">IF(N13="","",IF(N13&gt;=Scales!$P$5,"Intolerable",IF(N13&gt;=Scales!$P$6,"High",IF(N13&gt;=Scales!$P$7,"Medium","Low"))))</f>
        <v/>
      </c>
      <c r="P13" s="6" t="str">
        <f aca="false">IF(N13="","",IF(N13&gt;=Scales!$P$5,"Unacceptable",IF(N13&gt;=Scales!$P$6,"Reduce (ALARP)",IF(N13&gt;=Scales!$P$7,"Acceptable w/ review","Acceptable"))))</f>
        <v/>
      </c>
      <c r="Q13" s="7"/>
      <c r="R13" s="7"/>
      <c r="S13" s="7"/>
      <c r="T13" s="7"/>
      <c r="U13" s="7"/>
      <c r="V13" s="7"/>
      <c r="W13" s="7"/>
      <c r="X13" s="7"/>
      <c r="Y13" s="6" t="str">
        <f aca="false">IF(COUNT(V13:X13)=0,"",MAX(V13:X13))</f>
        <v/>
      </c>
      <c r="Z13" s="6" t="str">
        <f aca="false">IF(OR(U13="",Y13=""),"",U13*Y13)</f>
        <v/>
      </c>
      <c r="AA13" s="6" t="str">
        <f aca="false">IF(Z13="","",IF(Z13&gt;=Scales!$P$5,"Intolerable",IF(Z13&gt;=Scales!$P$6,"High",IF(Z13&gt;=Scales!$P$7,"Medium","Low"))))</f>
        <v/>
      </c>
      <c r="AB13" s="6" t="str">
        <f aca="false">IF(Z13="","",IF(Z13&gt;=Scales!$P$5,"Unacceptable",IF(Z13&gt;=Scales!$P$6,"Reduce (ALARP)",IF(Z13&gt;=Scales!$P$7,"Acceptable w/ review","Acceptable"))))</f>
        <v/>
      </c>
      <c r="AC13" s="6" t="str">
        <f aca="false">IF(M13="","",IF(AND(J13&gt;=K13,J13&gt;=L13),"Reputation",IF(AND(K13&gt;=J13,K13&gt;=L13),"Financial","IP")))</f>
        <v/>
      </c>
      <c r="AD13" s="6" t="str">
        <f aca="false">IF(AB13="","",IF(OR(AB13="Unacceptable",P13="Unacceptable"),"OPEN","Monitor"))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6" t="str">
        <f aca="false">IF(COUNT(J14:L14)=0,"",MAX(J14:L14))</f>
        <v/>
      </c>
      <c r="N14" s="6" t="str">
        <f aca="false">IF(OR(I14="",M14=""),"",I14*M14)</f>
        <v/>
      </c>
      <c r="O14" s="6" t="str">
        <f aca="false">IF(N14="","",IF(N14&gt;=Scales!$P$5,"Intolerable",IF(N14&gt;=Scales!$P$6,"High",IF(N14&gt;=Scales!$P$7,"Medium","Low"))))</f>
        <v/>
      </c>
      <c r="P14" s="6" t="str">
        <f aca="false">IF(N14="","",IF(N14&gt;=Scales!$P$5,"Unacceptable",IF(N14&gt;=Scales!$P$6,"Reduce (ALARP)",IF(N14&gt;=Scales!$P$7,"Acceptable w/ review","Acceptable"))))</f>
        <v/>
      </c>
      <c r="Q14" s="7"/>
      <c r="R14" s="7"/>
      <c r="S14" s="7"/>
      <c r="T14" s="7"/>
      <c r="U14" s="7"/>
      <c r="V14" s="7"/>
      <c r="W14" s="7"/>
      <c r="X14" s="7"/>
      <c r="Y14" s="6" t="str">
        <f aca="false">IF(COUNT(V14:X14)=0,"",MAX(V14:X14))</f>
        <v/>
      </c>
      <c r="Z14" s="6" t="str">
        <f aca="false">IF(OR(U14="",Y14=""),"",U14*Y14)</f>
        <v/>
      </c>
      <c r="AA14" s="6" t="str">
        <f aca="false">IF(Z14="","",IF(Z14&gt;=Scales!$P$5,"Intolerable",IF(Z14&gt;=Scales!$P$6,"High",IF(Z14&gt;=Scales!$P$7,"Medium","Low"))))</f>
        <v/>
      </c>
      <c r="AB14" s="6" t="str">
        <f aca="false">IF(Z14="","",IF(Z14&gt;=Scales!$P$5,"Unacceptable",IF(Z14&gt;=Scales!$P$6,"Reduce (ALARP)",IF(Z14&gt;=Scales!$P$7,"Acceptable w/ review","Acceptable"))))</f>
        <v/>
      </c>
      <c r="AC14" s="6" t="str">
        <f aca="false">IF(M14="","",IF(AND(J14&gt;=K14,J14&gt;=L14),"Reputation",IF(AND(K14&gt;=J14,K14&gt;=L14),"Financial","IP")))</f>
        <v/>
      </c>
      <c r="AD14" s="6" t="str">
        <f aca="false">IF(AB14="","",IF(OR(AB14="Unacceptable",P14="Unacceptable"),"OPEN","Monitor"))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6" t="str">
        <f aca="false">IF(COUNT(J15:L15)=0,"",MAX(J15:L15))</f>
        <v/>
      </c>
      <c r="N15" s="6" t="str">
        <f aca="false">IF(OR(I15="",M15=""),"",I15*M15)</f>
        <v/>
      </c>
      <c r="O15" s="6" t="str">
        <f aca="false">IF(N15="","",IF(N15&gt;=Scales!$P$5,"Intolerable",IF(N15&gt;=Scales!$P$6,"High",IF(N15&gt;=Scales!$P$7,"Medium","Low"))))</f>
        <v/>
      </c>
      <c r="P15" s="6" t="str">
        <f aca="false">IF(N15="","",IF(N15&gt;=Scales!$P$5,"Unacceptable",IF(N15&gt;=Scales!$P$6,"Reduce (ALARP)",IF(N15&gt;=Scales!$P$7,"Acceptable w/ review","Acceptable"))))</f>
        <v/>
      </c>
      <c r="Q15" s="7"/>
      <c r="R15" s="7"/>
      <c r="S15" s="7"/>
      <c r="T15" s="7"/>
      <c r="U15" s="7"/>
      <c r="V15" s="7"/>
      <c r="W15" s="7"/>
      <c r="X15" s="7"/>
      <c r="Y15" s="6" t="str">
        <f aca="false">IF(COUNT(V15:X15)=0,"",MAX(V15:X15))</f>
        <v/>
      </c>
      <c r="Z15" s="6" t="str">
        <f aca="false">IF(OR(U15="",Y15=""),"",U15*Y15)</f>
        <v/>
      </c>
      <c r="AA15" s="6" t="str">
        <f aca="false">IF(Z15="","",IF(Z15&gt;=Scales!$P$5,"Intolerable",IF(Z15&gt;=Scales!$P$6,"High",IF(Z15&gt;=Scales!$P$7,"Medium","Low"))))</f>
        <v/>
      </c>
      <c r="AB15" s="6" t="str">
        <f aca="false">IF(Z15="","",IF(Z15&gt;=Scales!$P$5,"Unacceptable",IF(Z15&gt;=Scales!$P$6,"Reduce (ALARP)",IF(Z15&gt;=Scales!$P$7,"Acceptable w/ review","Acceptable"))))</f>
        <v/>
      </c>
      <c r="AC15" s="6" t="str">
        <f aca="false">IF(M15="","",IF(AND(J15&gt;=K15,J15&gt;=L15),"Reputation",IF(AND(K15&gt;=J15,K15&gt;=L15),"Financial","IP")))</f>
        <v/>
      </c>
      <c r="AD15" s="6" t="str">
        <f aca="false">IF(AB15="","",IF(OR(AB15="Unacceptable",P15="Unacceptable"),"OPEN","Monitor"))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6" t="str">
        <f aca="false">IF(COUNT(J16:L16)=0,"",MAX(J16:L16))</f>
        <v/>
      </c>
      <c r="N16" s="6" t="str">
        <f aca="false">IF(OR(I16="",M16=""),"",I16*M16)</f>
        <v/>
      </c>
      <c r="O16" s="6" t="str">
        <f aca="false">IF(N16="","",IF(N16&gt;=Scales!$P$5,"Intolerable",IF(N16&gt;=Scales!$P$6,"High",IF(N16&gt;=Scales!$P$7,"Medium","Low"))))</f>
        <v/>
      </c>
      <c r="P16" s="6" t="str">
        <f aca="false">IF(N16="","",IF(N16&gt;=Scales!$P$5,"Unacceptable",IF(N16&gt;=Scales!$P$6,"Reduce (ALARP)",IF(N16&gt;=Scales!$P$7,"Acceptable w/ review","Acceptable"))))</f>
        <v/>
      </c>
      <c r="Q16" s="7"/>
      <c r="R16" s="7"/>
      <c r="S16" s="7"/>
      <c r="T16" s="7"/>
      <c r="U16" s="7"/>
      <c r="V16" s="7"/>
      <c r="W16" s="7"/>
      <c r="X16" s="7"/>
      <c r="Y16" s="6" t="str">
        <f aca="false">IF(COUNT(V16:X16)=0,"",MAX(V16:X16))</f>
        <v/>
      </c>
      <c r="Z16" s="6" t="str">
        <f aca="false">IF(OR(U16="",Y16=""),"",U16*Y16)</f>
        <v/>
      </c>
      <c r="AA16" s="6" t="str">
        <f aca="false">IF(Z16="","",IF(Z16&gt;=Scales!$P$5,"Intolerable",IF(Z16&gt;=Scales!$P$6,"High",IF(Z16&gt;=Scales!$P$7,"Medium","Low"))))</f>
        <v/>
      </c>
      <c r="AB16" s="6" t="str">
        <f aca="false">IF(Z16="","",IF(Z16&gt;=Scales!$P$5,"Unacceptable",IF(Z16&gt;=Scales!$P$6,"Reduce (ALARP)",IF(Z16&gt;=Scales!$P$7,"Acceptable w/ review","Acceptable"))))</f>
        <v/>
      </c>
      <c r="AC16" s="6" t="str">
        <f aca="false">IF(M16="","",IF(AND(J16&gt;=K16,J16&gt;=L16),"Reputation",IF(AND(K16&gt;=J16,K16&gt;=L16),"Financial","IP")))</f>
        <v/>
      </c>
      <c r="AD16" s="6" t="str">
        <f aca="false">IF(AB16="","",IF(OR(AB16="Unacceptable",P16="Unacceptable"),"OPEN","Monitor"))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6" t="str">
        <f aca="false">IF(COUNT(J17:L17)=0,"",MAX(J17:L17))</f>
        <v/>
      </c>
      <c r="N17" s="6" t="str">
        <f aca="false">IF(OR(I17="",M17=""),"",I17*M17)</f>
        <v/>
      </c>
      <c r="O17" s="6" t="str">
        <f aca="false">IF(N17="","",IF(N17&gt;=Scales!$P$5,"Intolerable",IF(N17&gt;=Scales!$P$6,"High",IF(N17&gt;=Scales!$P$7,"Medium","Low"))))</f>
        <v/>
      </c>
      <c r="P17" s="6" t="str">
        <f aca="false">IF(N17="","",IF(N17&gt;=Scales!$P$5,"Unacceptable",IF(N17&gt;=Scales!$P$6,"Reduce (ALARP)",IF(N17&gt;=Scales!$P$7,"Acceptable w/ review","Acceptable"))))</f>
        <v/>
      </c>
      <c r="Q17" s="7"/>
      <c r="R17" s="7"/>
      <c r="S17" s="7"/>
      <c r="T17" s="7"/>
      <c r="U17" s="7"/>
      <c r="V17" s="7"/>
      <c r="W17" s="7"/>
      <c r="X17" s="7"/>
      <c r="Y17" s="6" t="str">
        <f aca="false">IF(COUNT(V17:X17)=0,"",MAX(V17:X17))</f>
        <v/>
      </c>
      <c r="Z17" s="6" t="str">
        <f aca="false">IF(OR(U17="",Y17=""),"",U17*Y17)</f>
        <v/>
      </c>
      <c r="AA17" s="6" t="str">
        <f aca="false">IF(Z17="","",IF(Z17&gt;=Scales!$P$5,"Intolerable",IF(Z17&gt;=Scales!$P$6,"High",IF(Z17&gt;=Scales!$P$7,"Medium","Low"))))</f>
        <v/>
      </c>
      <c r="AB17" s="6" t="str">
        <f aca="false">IF(Z17="","",IF(Z17&gt;=Scales!$P$5,"Unacceptable",IF(Z17&gt;=Scales!$P$6,"Reduce (ALARP)",IF(Z17&gt;=Scales!$P$7,"Acceptable w/ review","Acceptable"))))</f>
        <v/>
      </c>
      <c r="AC17" s="6" t="str">
        <f aca="false">IF(M17="","",IF(AND(J17&gt;=K17,J17&gt;=L17),"Reputation",IF(AND(K17&gt;=J17,K17&gt;=L17),"Financial","IP")))</f>
        <v/>
      </c>
      <c r="AD17" s="6" t="str">
        <f aca="false">IF(AB17="","",IF(OR(AB17="Unacceptable",P17="Unacceptable"),"OPEN","Monitor"))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6" t="str">
        <f aca="false">IF(COUNT(J18:L18)=0,"",MAX(J18:L18))</f>
        <v/>
      </c>
      <c r="N18" s="6" t="str">
        <f aca="false">IF(OR(I18="",M18=""),"",I18*M18)</f>
        <v/>
      </c>
      <c r="O18" s="6" t="str">
        <f aca="false">IF(N18="","",IF(N18&gt;=Scales!$P$5,"Intolerable",IF(N18&gt;=Scales!$P$6,"High",IF(N18&gt;=Scales!$P$7,"Medium","Low"))))</f>
        <v/>
      </c>
      <c r="P18" s="6" t="str">
        <f aca="false">IF(N18="","",IF(N18&gt;=Scales!$P$5,"Unacceptable",IF(N18&gt;=Scales!$P$6,"Reduce (ALARP)",IF(N18&gt;=Scales!$P$7,"Acceptable w/ review","Acceptable"))))</f>
        <v/>
      </c>
      <c r="Q18" s="7"/>
      <c r="R18" s="7"/>
      <c r="S18" s="7"/>
      <c r="T18" s="7"/>
      <c r="U18" s="7"/>
      <c r="V18" s="7"/>
      <c r="W18" s="7"/>
      <c r="X18" s="7"/>
      <c r="Y18" s="6" t="str">
        <f aca="false">IF(COUNT(V18:X18)=0,"",MAX(V18:X18))</f>
        <v/>
      </c>
      <c r="Z18" s="6" t="str">
        <f aca="false">IF(OR(U18="",Y18=""),"",U18*Y18)</f>
        <v/>
      </c>
      <c r="AA18" s="6" t="str">
        <f aca="false">IF(Z18="","",IF(Z18&gt;=Scales!$P$5,"Intolerable",IF(Z18&gt;=Scales!$P$6,"High",IF(Z18&gt;=Scales!$P$7,"Medium","Low"))))</f>
        <v/>
      </c>
      <c r="AB18" s="6" t="str">
        <f aca="false">IF(Z18="","",IF(Z18&gt;=Scales!$P$5,"Unacceptable",IF(Z18&gt;=Scales!$P$6,"Reduce (ALARP)",IF(Z18&gt;=Scales!$P$7,"Acceptable w/ review","Acceptable"))))</f>
        <v/>
      </c>
      <c r="AC18" s="6" t="str">
        <f aca="false">IF(M18="","",IF(AND(J18&gt;=K18,J18&gt;=L18),"Reputation",IF(AND(K18&gt;=J18,K18&gt;=L18),"Financial","IP")))</f>
        <v/>
      </c>
      <c r="AD18" s="6" t="str">
        <f aca="false">IF(AB18="","",IF(OR(AB18="Unacceptable",P18="Unacceptable"),"OPEN","Monitor"))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6" t="str">
        <f aca="false">IF(COUNT(J19:L19)=0,"",MAX(J19:L19))</f>
        <v/>
      </c>
      <c r="N19" s="6" t="str">
        <f aca="false">IF(OR(I19="",M19=""),"",I19*M19)</f>
        <v/>
      </c>
      <c r="O19" s="6" t="str">
        <f aca="false">IF(N19="","",IF(N19&gt;=Scales!$P$5,"Intolerable",IF(N19&gt;=Scales!$P$6,"High",IF(N19&gt;=Scales!$P$7,"Medium","Low"))))</f>
        <v/>
      </c>
      <c r="P19" s="6" t="str">
        <f aca="false">IF(N19="","",IF(N19&gt;=Scales!$P$5,"Unacceptable",IF(N19&gt;=Scales!$P$6,"Reduce (ALARP)",IF(N19&gt;=Scales!$P$7,"Acceptable w/ review","Acceptable"))))</f>
        <v/>
      </c>
      <c r="Q19" s="7"/>
      <c r="R19" s="7"/>
      <c r="S19" s="7"/>
      <c r="T19" s="7"/>
      <c r="U19" s="7"/>
      <c r="V19" s="7"/>
      <c r="W19" s="7"/>
      <c r="X19" s="7"/>
      <c r="Y19" s="6" t="str">
        <f aca="false">IF(COUNT(V19:X19)=0,"",MAX(V19:X19))</f>
        <v/>
      </c>
      <c r="Z19" s="6" t="str">
        <f aca="false">IF(OR(U19="",Y19=""),"",U19*Y19)</f>
        <v/>
      </c>
      <c r="AA19" s="6" t="str">
        <f aca="false">IF(Z19="","",IF(Z19&gt;=Scales!$P$5,"Intolerable",IF(Z19&gt;=Scales!$P$6,"High",IF(Z19&gt;=Scales!$P$7,"Medium","Low"))))</f>
        <v/>
      </c>
      <c r="AB19" s="6" t="str">
        <f aca="false">IF(Z19="","",IF(Z19&gt;=Scales!$P$5,"Unacceptable",IF(Z19&gt;=Scales!$P$6,"Reduce (ALARP)",IF(Z19&gt;=Scales!$P$7,"Acceptable w/ review","Acceptable"))))</f>
        <v/>
      </c>
      <c r="AC19" s="6" t="str">
        <f aca="false">IF(M19="","",IF(AND(J19&gt;=K19,J19&gt;=L19),"Reputation",IF(AND(K19&gt;=J19,K19&gt;=L19),"Financial","IP")))</f>
        <v/>
      </c>
      <c r="AD19" s="6" t="str">
        <f aca="false">IF(AB19="","",IF(OR(AB19="Unacceptable",P19="Unacceptable"),"OPEN","Monitor"))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6" t="str">
        <f aca="false">IF(COUNT(J20:L20)=0,"",MAX(J20:L20))</f>
        <v/>
      </c>
      <c r="N20" s="6" t="str">
        <f aca="false">IF(OR(I20="",M20=""),"",I20*M20)</f>
        <v/>
      </c>
      <c r="O20" s="6" t="str">
        <f aca="false">IF(N20="","",IF(N20&gt;=Scales!$P$5,"Intolerable",IF(N20&gt;=Scales!$P$6,"High",IF(N20&gt;=Scales!$P$7,"Medium","Low"))))</f>
        <v/>
      </c>
      <c r="P20" s="6" t="str">
        <f aca="false">IF(N20="","",IF(N20&gt;=Scales!$P$5,"Unacceptable",IF(N20&gt;=Scales!$P$6,"Reduce (ALARP)",IF(N20&gt;=Scales!$P$7,"Acceptable w/ review","Acceptable"))))</f>
        <v/>
      </c>
      <c r="Q20" s="7"/>
      <c r="R20" s="7"/>
      <c r="S20" s="7"/>
      <c r="T20" s="7"/>
      <c r="U20" s="7"/>
      <c r="V20" s="7"/>
      <c r="W20" s="7"/>
      <c r="X20" s="7"/>
      <c r="Y20" s="6" t="str">
        <f aca="false">IF(COUNT(V20:X20)=0,"",MAX(V20:X20))</f>
        <v/>
      </c>
      <c r="Z20" s="6" t="str">
        <f aca="false">IF(OR(U20="",Y20=""),"",U20*Y20)</f>
        <v/>
      </c>
      <c r="AA20" s="6" t="str">
        <f aca="false">IF(Z20="","",IF(Z20&gt;=Scales!$P$5,"Intolerable",IF(Z20&gt;=Scales!$P$6,"High",IF(Z20&gt;=Scales!$P$7,"Medium","Low"))))</f>
        <v/>
      </c>
      <c r="AB20" s="6" t="str">
        <f aca="false">IF(Z20="","",IF(Z20&gt;=Scales!$P$5,"Unacceptable",IF(Z20&gt;=Scales!$P$6,"Reduce (ALARP)",IF(Z20&gt;=Scales!$P$7,"Acceptable w/ review","Acceptable"))))</f>
        <v/>
      </c>
      <c r="AC20" s="6" t="str">
        <f aca="false">IF(M20="","",IF(AND(J20&gt;=K20,J20&gt;=L20),"Reputation",IF(AND(K20&gt;=J20,K20&gt;=L20),"Financial","IP")))</f>
        <v/>
      </c>
      <c r="AD20" s="6" t="str">
        <f aca="false">IF(AB20="","",IF(OR(AB20="Unacceptable",P20="Unacceptable"),"OPEN","Monitor"))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6" t="str">
        <f aca="false">IF(COUNT(J21:L21)=0,"",MAX(J21:L21))</f>
        <v/>
      </c>
      <c r="N21" s="6" t="str">
        <f aca="false">IF(OR(I21="",M21=""),"",I21*M21)</f>
        <v/>
      </c>
      <c r="O21" s="6" t="str">
        <f aca="false">IF(N21="","",IF(N21&gt;=Scales!$P$5,"Intolerable",IF(N21&gt;=Scales!$P$6,"High",IF(N21&gt;=Scales!$P$7,"Medium","Low"))))</f>
        <v/>
      </c>
      <c r="P21" s="6" t="str">
        <f aca="false">IF(N21="","",IF(N21&gt;=Scales!$P$5,"Unacceptable",IF(N21&gt;=Scales!$P$6,"Reduce (ALARP)",IF(N21&gt;=Scales!$P$7,"Acceptable w/ review","Acceptable"))))</f>
        <v/>
      </c>
      <c r="Q21" s="7"/>
      <c r="R21" s="7"/>
      <c r="S21" s="7"/>
      <c r="T21" s="7"/>
      <c r="U21" s="7"/>
      <c r="V21" s="7"/>
      <c r="W21" s="7"/>
      <c r="X21" s="7"/>
      <c r="Y21" s="6" t="str">
        <f aca="false">IF(COUNT(V21:X21)=0,"",MAX(V21:X21))</f>
        <v/>
      </c>
      <c r="Z21" s="6" t="str">
        <f aca="false">IF(OR(U21="",Y21=""),"",U21*Y21)</f>
        <v/>
      </c>
      <c r="AA21" s="6" t="str">
        <f aca="false">IF(Z21="","",IF(Z21&gt;=Scales!$P$5,"Intolerable",IF(Z21&gt;=Scales!$P$6,"High",IF(Z21&gt;=Scales!$P$7,"Medium","Low"))))</f>
        <v/>
      </c>
      <c r="AB21" s="6" t="str">
        <f aca="false">IF(Z21="","",IF(Z21&gt;=Scales!$P$5,"Unacceptable",IF(Z21&gt;=Scales!$P$6,"Reduce (ALARP)",IF(Z21&gt;=Scales!$P$7,"Acceptable w/ review","Acceptable"))))</f>
        <v/>
      </c>
      <c r="AC21" s="6" t="str">
        <f aca="false">IF(M21="","",IF(AND(J21&gt;=K21,J21&gt;=L21),"Reputation",IF(AND(K21&gt;=J21,K21&gt;=L21),"Financial","IP")))</f>
        <v/>
      </c>
      <c r="AD21" s="6" t="str">
        <f aca="false">IF(AB21="","",IF(OR(AB21="Unacceptable",P21="Unacceptable"),"OPEN","Monitor"))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6" t="str">
        <f aca="false">IF(COUNT(J22:L22)=0,"",MAX(J22:L22))</f>
        <v/>
      </c>
      <c r="N22" s="6" t="str">
        <f aca="false">IF(OR(I22="",M22=""),"",I22*M22)</f>
        <v/>
      </c>
      <c r="O22" s="6" t="str">
        <f aca="false">IF(N22="","",IF(N22&gt;=Scales!$P$5,"Intolerable",IF(N22&gt;=Scales!$P$6,"High",IF(N22&gt;=Scales!$P$7,"Medium","Low"))))</f>
        <v/>
      </c>
      <c r="P22" s="6" t="str">
        <f aca="false">IF(N22="","",IF(N22&gt;=Scales!$P$5,"Unacceptable",IF(N22&gt;=Scales!$P$6,"Reduce (ALARP)",IF(N22&gt;=Scales!$P$7,"Acceptable w/ review","Acceptable"))))</f>
        <v/>
      </c>
      <c r="Q22" s="7"/>
      <c r="R22" s="7"/>
      <c r="S22" s="7"/>
      <c r="T22" s="7"/>
      <c r="U22" s="7"/>
      <c r="V22" s="7"/>
      <c r="W22" s="7"/>
      <c r="X22" s="7"/>
      <c r="Y22" s="6" t="str">
        <f aca="false">IF(COUNT(V22:X22)=0,"",MAX(V22:X22))</f>
        <v/>
      </c>
      <c r="Z22" s="6" t="str">
        <f aca="false">IF(OR(U22="",Y22=""),"",U22*Y22)</f>
        <v/>
      </c>
      <c r="AA22" s="6" t="str">
        <f aca="false">IF(Z22="","",IF(Z22&gt;=Scales!$P$5,"Intolerable",IF(Z22&gt;=Scales!$P$6,"High",IF(Z22&gt;=Scales!$P$7,"Medium","Low"))))</f>
        <v/>
      </c>
      <c r="AB22" s="6" t="str">
        <f aca="false">IF(Z22="","",IF(Z22&gt;=Scales!$P$5,"Unacceptable",IF(Z22&gt;=Scales!$P$6,"Reduce (ALARP)",IF(Z22&gt;=Scales!$P$7,"Acceptable w/ review","Acceptable"))))</f>
        <v/>
      </c>
      <c r="AC22" s="6" t="str">
        <f aca="false">IF(M22="","",IF(AND(J22&gt;=K22,J22&gt;=L22),"Reputation",IF(AND(K22&gt;=J22,K22&gt;=L22),"Financial","IP")))</f>
        <v/>
      </c>
      <c r="AD22" s="6" t="str">
        <f aca="false">IF(AB22="","",IF(OR(AB22="Unacceptable",P22="Unacceptable"),"OPEN","Monitor"))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6" t="str">
        <f aca="false">IF(COUNT(J23:L23)=0,"",MAX(J23:L23))</f>
        <v/>
      </c>
      <c r="N23" s="6" t="str">
        <f aca="false">IF(OR(I23="",M23=""),"",I23*M23)</f>
        <v/>
      </c>
      <c r="O23" s="6" t="str">
        <f aca="false">IF(N23="","",IF(N23&gt;=Scales!$P$5,"Intolerable",IF(N23&gt;=Scales!$P$6,"High",IF(N23&gt;=Scales!$P$7,"Medium","Low"))))</f>
        <v/>
      </c>
      <c r="P23" s="6" t="str">
        <f aca="false">IF(N23="","",IF(N23&gt;=Scales!$P$5,"Unacceptable",IF(N23&gt;=Scales!$P$6,"Reduce (ALARP)",IF(N23&gt;=Scales!$P$7,"Acceptable w/ review","Acceptable"))))</f>
        <v/>
      </c>
      <c r="Q23" s="7"/>
      <c r="R23" s="7"/>
      <c r="S23" s="7"/>
      <c r="T23" s="7"/>
      <c r="U23" s="7"/>
      <c r="V23" s="7"/>
      <c r="W23" s="7"/>
      <c r="X23" s="7"/>
      <c r="Y23" s="6" t="str">
        <f aca="false">IF(COUNT(V23:X23)=0,"",MAX(V23:X23))</f>
        <v/>
      </c>
      <c r="Z23" s="6" t="str">
        <f aca="false">IF(OR(U23="",Y23=""),"",U23*Y23)</f>
        <v/>
      </c>
      <c r="AA23" s="6" t="str">
        <f aca="false">IF(Z23="","",IF(Z23&gt;=Scales!$P$5,"Intolerable",IF(Z23&gt;=Scales!$P$6,"High",IF(Z23&gt;=Scales!$P$7,"Medium","Low"))))</f>
        <v/>
      </c>
      <c r="AB23" s="6" t="str">
        <f aca="false">IF(Z23="","",IF(Z23&gt;=Scales!$P$5,"Unacceptable",IF(Z23&gt;=Scales!$P$6,"Reduce (ALARP)",IF(Z23&gt;=Scales!$P$7,"Acceptable w/ review","Acceptable"))))</f>
        <v/>
      </c>
      <c r="AC23" s="6" t="str">
        <f aca="false">IF(M23="","",IF(AND(J23&gt;=K23,J23&gt;=L23),"Reputation",IF(AND(K23&gt;=J23,K23&gt;=L23),"Financial","IP")))</f>
        <v/>
      </c>
      <c r="AD23" s="6" t="str">
        <f aca="false">IF(AB23="","",IF(OR(AB23="Unacceptable",P23="Unacceptable"),"OPEN","Monitor"))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6" t="str">
        <f aca="false">IF(COUNT(J24:L24)=0,"",MAX(J24:L24))</f>
        <v/>
      </c>
      <c r="N24" s="6" t="str">
        <f aca="false">IF(OR(I24="",M24=""),"",I24*M24)</f>
        <v/>
      </c>
      <c r="O24" s="6" t="str">
        <f aca="false">IF(N24="","",IF(N24&gt;=Scales!$P$5,"Intolerable",IF(N24&gt;=Scales!$P$6,"High",IF(N24&gt;=Scales!$P$7,"Medium","Low"))))</f>
        <v/>
      </c>
      <c r="P24" s="6" t="str">
        <f aca="false">IF(N24="","",IF(N24&gt;=Scales!$P$5,"Unacceptable",IF(N24&gt;=Scales!$P$6,"Reduce (ALARP)",IF(N24&gt;=Scales!$P$7,"Acceptable w/ review","Acceptable"))))</f>
        <v/>
      </c>
      <c r="Q24" s="7"/>
      <c r="R24" s="7"/>
      <c r="S24" s="7"/>
      <c r="T24" s="7"/>
      <c r="U24" s="7"/>
      <c r="V24" s="7"/>
      <c r="W24" s="7"/>
      <c r="X24" s="7"/>
      <c r="Y24" s="6" t="str">
        <f aca="false">IF(COUNT(V24:X24)=0,"",MAX(V24:X24))</f>
        <v/>
      </c>
      <c r="Z24" s="6" t="str">
        <f aca="false">IF(OR(U24="",Y24=""),"",U24*Y24)</f>
        <v/>
      </c>
      <c r="AA24" s="6" t="str">
        <f aca="false">IF(Z24="","",IF(Z24&gt;=Scales!$P$5,"Intolerable",IF(Z24&gt;=Scales!$P$6,"High",IF(Z24&gt;=Scales!$P$7,"Medium","Low"))))</f>
        <v/>
      </c>
      <c r="AB24" s="6" t="str">
        <f aca="false">IF(Z24="","",IF(Z24&gt;=Scales!$P$5,"Unacceptable",IF(Z24&gt;=Scales!$P$6,"Reduce (ALARP)",IF(Z24&gt;=Scales!$P$7,"Acceptable w/ review","Acceptable"))))</f>
        <v/>
      </c>
      <c r="AC24" s="6" t="str">
        <f aca="false">IF(M24="","",IF(AND(J24&gt;=K24,J24&gt;=L24),"Reputation",IF(AND(K24&gt;=J24,K24&gt;=L24),"Financial","IP")))</f>
        <v/>
      </c>
      <c r="AD24" s="6" t="str">
        <f aca="false">IF(AB24="","",IF(OR(AB24="Unacceptable",P24="Unacceptable"),"OPEN","Monitor"))</f>
        <v/>
      </c>
    </row>
  </sheetData>
  <conditionalFormatting sqref="O3:O24">
    <cfRule type="cellIs" priority="2" operator="equal" aboveAverage="0" equalAverage="0" bottom="0" percent="0" rank="0" text="" dxfId="0">
      <formula>"Intolerable"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AA3:AA24">
    <cfRule type="cellIs" priority="6" operator="equal" aboveAverage="0" equalAverage="0" bottom="0" percent="0" rank="0" text="" dxfId="0">
      <formula>"Intolerable"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dataValidations count="2">
    <dataValidation allowBlank="true" errorStyle="stop" operator="between" showDropDown="false" showErrorMessage="false" showInputMessage="false" sqref="C3:C24" type="list">
      <formula1>"Spoofing,Tampering,Repudiation,Information disclosure,Denial of service,Elevation of privilege,Supply chain,IP theft"</formula1>
      <formula2>0</formula2>
    </dataValidation>
    <dataValidation allowBlank="true" errorStyle="stop" operator="between" showDropDown="false" showErrorMessage="false" showInputMessage="false" sqref="S3:S24" type="list">
      <formula1>"Inherently secure design,Protective measure,Detective control,Procedural control"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28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5" min="15" style="0" width="16"/>
    <col collapsed="false" customWidth="true" hidden="false" outlineLevel="0" max="16" min="16" style="0" width="6"/>
  </cols>
  <sheetData>
    <row r="2" customFormat="false" ht="17.35" hidden="false" customHeight="false" outlineLevel="0" collapsed="false">
      <c r="B2" s="8" t="s">
        <v>79</v>
      </c>
    </row>
    <row r="4" customFormat="false" ht="15" hidden="false" customHeight="true" outlineLevel="0" collapsed="false">
      <c r="B4" s="2" t="s">
        <v>80</v>
      </c>
      <c r="C4" s="2"/>
      <c r="D4" s="2"/>
      <c r="E4" s="2"/>
      <c r="G4" s="9" t="s">
        <v>81</v>
      </c>
      <c r="H4" s="9"/>
      <c r="I4" s="9"/>
      <c r="O4" s="10" t="s">
        <v>82</v>
      </c>
    </row>
    <row r="5" customFormat="false" ht="15" hidden="false" customHeight="false" outlineLevel="0" collapsed="false">
      <c r="B5" s="9"/>
      <c r="C5" s="9"/>
      <c r="D5" s="9"/>
      <c r="E5" s="9"/>
      <c r="G5" s="9"/>
      <c r="H5" s="9"/>
      <c r="I5" s="9"/>
      <c r="O5" s="11" t="s">
        <v>83</v>
      </c>
      <c r="P5" s="12" t="n">
        <v>16</v>
      </c>
    </row>
    <row r="6" customFormat="false" ht="23.85" hidden="false" customHeight="true" outlineLevel="0" collapsed="false">
      <c r="B6" s="13" t="n">
        <v>1</v>
      </c>
      <c r="C6" s="3" t="s">
        <v>84</v>
      </c>
      <c r="D6" s="14" t="s">
        <v>85</v>
      </c>
      <c r="E6" s="14"/>
      <c r="G6" s="15" t="n">
        <v>16</v>
      </c>
      <c r="H6" s="16" t="s">
        <v>86</v>
      </c>
      <c r="I6" s="17" t="s">
        <v>87</v>
      </c>
      <c r="O6" s="11" t="s">
        <v>88</v>
      </c>
      <c r="P6" s="12" t="n">
        <v>10</v>
      </c>
    </row>
    <row r="7" customFormat="false" ht="23.85" hidden="false" customHeight="true" outlineLevel="0" collapsed="false">
      <c r="B7" s="13" t="n">
        <v>2</v>
      </c>
      <c r="C7" s="3" t="s">
        <v>89</v>
      </c>
      <c r="D7" s="14" t="s">
        <v>90</v>
      </c>
      <c r="E7" s="14"/>
      <c r="G7" s="18" t="n">
        <v>10</v>
      </c>
      <c r="H7" s="19" t="s">
        <v>91</v>
      </c>
      <c r="I7" s="20" t="s">
        <v>92</v>
      </c>
      <c r="O7" s="11" t="s">
        <v>93</v>
      </c>
      <c r="P7" s="12" t="n">
        <v>5</v>
      </c>
    </row>
    <row r="8" customFormat="false" ht="15" hidden="false" customHeight="true" outlineLevel="0" collapsed="false">
      <c r="B8" s="13" t="n">
        <v>3</v>
      </c>
      <c r="C8" s="3" t="s">
        <v>94</v>
      </c>
      <c r="D8" s="14" t="s">
        <v>95</v>
      </c>
      <c r="E8" s="14"/>
      <c r="G8" s="21" t="n">
        <v>5</v>
      </c>
      <c r="H8" s="22" t="s">
        <v>96</v>
      </c>
      <c r="I8" s="23" t="s">
        <v>97</v>
      </c>
    </row>
    <row r="9" customFormat="false" ht="15" hidden="false" customHeight="true" outlineLevel="0" collapsed="false">
      <c r="B9" s="13" t="n">
        <v>4</v>
      </c>
      <c r="C9" s="3" t="s">
        <v>98</v>
      </c>
      <c r="D9" s="14" t="s">
        <v>99</v>
      </c>
      <c r="E9" s="14"/>
      <c r="G9" s="24" t="n">
        <v>1</v>
      </c>
      <c r="H9" s="25" t="s">
        <v>100</v>
      </c>
      <c r="I9" s="26" t="s">
        <v>101</v>
      </c>
    </row>
    <row r="10" customFormat="false" ht="15" hidden="false" customHeight="true" outlineLevel="0" collapsed="false">
      <c r="B10" s="13" t="n">
        <v>5</v>
      </c>
      <c r="C10" s="3" t="s">
        <v>102</v>
      </c>
      <c r="D10" s="14" t="s">
        <v>103</v>
      </c>
      <c r="E10" s="14"/>
    </row>
    <row r="12" customFormat="false" ht="15" hidden="false" customHeight="true" outlineLevel="0" collapsed="false">
      <c r="B12" s="2" t="s">
        <v>104</v>
      </c>
      <c r="C12" s="2"/>
      <c r="D12" s="2"/>
      <c r="E12" s="2"/>
      <c r="G12" s="27" t="s">
        <v>105</v>
      </c>
    </row>
    <row r="13" customFormat="false" ht="23.85" hidden="false" customHeight="false" outlineLevel="0" collapsed="false">
      <c r="B13" s="9"/>
      <c r="C13" s="9"/>
      <c r="D13" s="9"/>
      <c r="E13" s="9"/>
      <c r="G13" s="9" t="s">
        <v>106</v>
      </c>
      <c r="H13" s="9" t="n">
        <v>1</v>
      </c>
      <c r="I13" s="9" t="n">
        <v>2</v>
      </c>
      <c r="J13" s="9" t="n">
        <v>3</v>
      </c>
      <c r="K13" s="9" t="n">
        <v>4</v>
      </c>
      <c r="L13" s="9" t="n">
        <v>5</v>
      </c>
    </row>
    <row r="14" customFormat="false" ht="15" hidden="false" customHeight="false" outlineLevel="0" collapsed="false">
      <c r="B14" s="13" t="n">
        <v>1</v>
      </c>
      <c r="C14" s="3" t="s">
        <v>107</v>
      </c>
      <c r="D14" s="3" t="s">
        <v>108</v>
      </c>
      <c r="E14" s="3" t="s">
        <v>109</v>
      </c>
      <c r="G14" s="9" t="n">
        <v>5</v>
      </c>
      <c r="H14" s="28" t="n">
        <v>5</v>
      </c>
      <c r="I14" s="29" t="n">
        <v>10</v>
      </c>
      <c r="J14" s="29" t="n">
        <v>15</v>
      </c>
      <c r="K14" s="30" t="n">
        <v>20</v>
      </c>
      <c r="L14" s="30" t="n">
        <v>25</v>
      </c>
    </row>
    <row r="15" customFormat="false" ht="15" hidden="false" customHeight="false" outlineLevel="0" collapsed="false">
      <c r="B15" s="13" t="n">
        <v>2</v>
      </c>
      <c r="C15" s="3" t="s">
        <v>110</v>
      </c>
      <c r="D15" s="3" t="s">
        <v>111</v>
      </c>
      <c r="E15" s="3" t="s">
        <v>112</v>
      </c>
      <c r="G15" s="9" t="n">
        <v>4</v>
      </c>
      <c r="H15" s="31" t="n">
        <v>4</v>
      </c>
      <c r="I15" s="28" t="n">
        <v>8</v>
      </c>
      <c r="J15" s="29" t="n">
        <v>12</v>
      </c>
      <c r="K15" s="30" t="n">
        <v>16</v>
      </c>
      <c r="L15" s="30" t="n">
        <v>20</v>
      </c>
    </row>
    <row r="16" customFormat="false" ht="15" hidden="false" customHeight="false" outlineLevel="0" collapsed="false">
      <c r="B16" s="13" t="n">
        <v>3</v>
      </c>
      <c r="C16" s="3" t="s">
        <v>113</v>
      </c>
      <c r="D16" s="3" t="s">
        <v>114</v>
      </c>
      <c r="E16" s="3" t="s">
        <v>115</v>
      </c>
      <c r="G16" s="9" t="n">
        <v>3</v>
      </c>
      <c r="H16" s="31" t="n">
        <v>3</v>
      </c>
      <c r="I16" s="28" t="n">
        <v>6</v>
      </c>
      <c r="J16" s="28" t="n">
        <v>9</v>
      </c>
      <c r="K16" s="29" t="n">
        <v>12</v>
      </c>
      <c r="L16" s="29" t="n">
        <v>15</v>
      </c>
    </row>
    <row r="17" customFormat="false" ht="15" hidden="false" customHeight="false" outlineLevel="0" collapsed="false">
      <c r="B17" s="13" t="n">
        <v>4</v>
      </c>
      <c r="C17" s="3" t="s">
        <v>116</v>
      </c>
      <c r="D17" s="3" t="s">
        <v>117</v>
      </c>
      <c r="E17" s="3" t="s">
        <v>118</v>
      </c>
      <c r="G17" s="9" t="n">
        <v>2</v>
      </c>
      <c r="H17" s="31" t="n">
        <v>2</v>
      </c>
      <c r="I17" s="31" t="n">
        <v>4</v>
      </c>
      <c r="J17" s="28" t="n">
        <v>6</v>
      </c>
      <c r="K17" s="28" t="n">
        <v>8</v>
      </c>
      <c r="L17" s="29" t="n">
        <v>10</v>
      </c>
    </row>
    <row r="18" customFormat="false" ht="15" hidden="false" customHeight="false" outlineLevel="0" collapsed="false">
      <c r="B18" s="13" t="n">
        <v>5</v>
      </c>
      <c r="C18" s="3" t="s">
        <v>119</v>
      </c>
      <c r="D18" s="3" t="s">
        <v>120</v>
      </c>
      <c r="E18" s="3" t="s">
        <v>121</v>
      </c>
      <c r="G18" s="9" t="n">
        <v>1</v>
      </c>
      <c r="H18" s="31" t="n">
        <v>1</v>
      </c>
      <c r="I18" s="31" t="n">
        <v>2</v>
      </c>
      <c r="J18" s="31" t="n">
        <v>3</v>
      </c>
      <c r="K18" s="31" t="n">
        <v>4</v>
      </c>
      <c r="L18" s="28" t="n">
        <v>5</v>
      </c>
    </row>
    <row r="20" customFormat="false" ht="15" hidden="false" customHeight="false" outlineLevel="0" collapsed="false">
      <c r="B20" s="32" t="s">
        <v>122</v>
      </c>
      <c r="C20" s="32"/>
      <c r="D20" s="32"/>
      <c r="E20" s="32"/>
    </row>
  </sheetData>
  <mergeCells count="10">
    <mergeCell ref="B4:E4"/>
    <mergeCell ref="G4:I4"/>
    <mergeCell ref="D5:E5"/>
    <mergeCell ref="D6:E6"/>
    <mergeCell ref="D7:E7"/>
    <mergeCell ref="D8:E8"/>
    <mergeCell ref="D9:E9"/>
    <mergeCell ref="D10:E10"/>
    <mergeCell ref="B12:E12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22"/>
  </cols>
  <sheetData>
    <row r="2" customFormat="false" ht="16.15" hidden="false" customHeight="false" outlineLevel="0" collapsed="false">
      <c r="B2" s="33" t="s">
        <v>123</v>
      </c>
    </row>
    <row r="4" customFormat="false" ht="15" hidden="false" customHeight="false" outlineLevel="0" collapsed="false">
      <c r="B4" s="9" t="s">
        <v>3</v>
      </c>
      <c r="C4" s="9" t="s">
        <v>124</v>
      </c>
      <c r="D4" s="9" t="s">
        <v>125</v>
      </c>
      <c r="E4" s="9" t="s">
        <v>126</v>
      </c>
      <c r="F4" s="9" t="s">
        <v>127</v>
      </c>
      <c r="G4" s="9" t="s">
        <v>128</v>
      </c>
    </row>
    <row r="5" customFormat="false" ht="30" hidden="false" customHeight="true" outlineLevel="0" collapsed="false">
      <c r="B5" s="3" t="s">
        <v>129</v>
      </c>
      <c r="C5" s="3" t="s">
        <v>130</v>
      </c>
      <c r="D5" s="3" t="s">
        <v>131</v>
      </c>
      <c r="E5" s="3" t="s">
        <v>132</v>
      </c>
      <c r="F5" s="3" t="s">
        <v>133</v>
      </c>
      <c r="G5" s="3" t="s">
        <v>134</v>
      </c>
    </row>
    <row r="6" customFormat="false" ht="30" hidden="false" customHeight="true" outlineLevel="0" collapsed="false">
      <c r="B6" s="34" t="s">
        <v>135</v>
      </c>
      <c r="C6" s="34" t="s">
        <v>136</v>
      </c>
      <c r="D6" s="34" t="s">
        <v>137</v>
      </c>
      <c r="E6" s="34" t="s">
        <v>138</v>
      </c>
      <c r="F6" s="34" t="s">
        <v>139</v>
      </c>
      <c r="G6" s="34" t="s">
        <v>140</v>
      </c>
    </row>
    <row r="7" customFormat="false" ht="30" hidden="false" customHeight="true" outlineLevel="0" collapsed="false">
      <c r="B7" s="3" t="s">
        <v>141</v>
      </c>
      <c r="C7" s="3" t="s">
        <v>142</v>
      </c>
      <c r="D7" s="3" t="s">
        <v>143</v>
      </c>
      <c r="E7" s="3" t="s">
        <v>144</v>
      </c>
      <c r="F7" s="3" t="s">
        <v>145</v>
      </c>
      <c r="G7" s="3" t="s">
        <v>146</v>
      </c>
    </row>
    <row r="8" customFormat="false" ht="30" hidden="false" customHeight="true" outlineLevel="0" collapsed="false">
      <c r="B8" s="34" t="s">
        <v>33</v>
      </c>
      <c r="C8" s="34" t="s">
        <v>147</v>
      </c>
      <c r="D8" s="34" t="s">
        <v>148</v>
      </c>
      <c r="E8" s="34" t="s">
        <v>149</v>
      </c>
      <c r="F8" s="34" t="s">
        <v>150</v>
      </c>
      <c r="G8" s="34" t="s">
        <v>134</v>
      </c>
    </row>
    <row r="9" customFormat="false" ht="30" hidden="false" customHeight="true" outlineLevel="0" collapsed="false">
      <c r="B9" s="3" t="s">
        <v>57</v>
      </c>
      <c r="C9" s="3" t="s">
        <v>151</v>
      </c>
      <c r="D9" s="3" t="s">
        <v>152</v>
      </c>
      <c r="E9" s="3" t="s">
        <v>153</v>
      </c>
      <c r="F9" s="3" t="s">
        <v>154</v>
      </c>
      <c r="G9" s="3" t="s">
        <v>155</v>
      </c>
    </row>
    <row r="10" customFormat="false" ht="30" hidden="false" customHeight="true" outlineLevel="0" collapsed="false">
      <c r="B10" s="34" t="s">
        <v>156</v>
      </c>
      <c r="C10" s="34" t="s">
        <v>157</v>
      </c>
      <c r="D10" s="34" t="s">
        <v>158</v>
      </c>
      <c r="E10" s="34" t="s">
        <v>159</v>
      </c>
      <c r="F10" s="34" t="s">
        <v>160</v>
      </c>
      <c r="G10" s="34" t="s">
        <v>140</v>
      </c>
    </row>
    <row r="11" customFormat="false" ht="30" hidden="false" customHeight="true" outlineLevel="0" collapsed="false">
      <c r="B11" s="3" t="s">
        <v>69</v>
      </c>
      <c r="C11" s="3" t="s">
        <v>161</v>
      </c>
      <c r="D11" s="3" t="s">
        <v>162</v>
      </c>
      <c r="E11" s="3" t="s">
        <v>163</v>
      </c>
      <c r="F11" s="3" t="s">
        <v>164</v>
      </c>
      <c r="G11" s="3" t="s">
        <v>165</v>
      </c>
    </row>
    <row r="12" customFormat="false" ht="30" hidden="false" customHeight="true" outlineLevel="0" collapsed="false">
      <c r="B12" s="34" t="s">
        <v>45</v>
      </c>
      <c r="C12" s="34" t="s">
        <v>166</v>
      </c>
      <c r="D12" s="34" t="s">
        <v>167</v>
      </c>
      <c r="E12" s="34" t="s">
        <v>44</v>
      </c>
      <c r="F12" s="34" t="s">
        <v>168</v>
      </c>
      <c r="G12" s="34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2026-06-28T00:34:48Z</dcterms:created>
  <dc:creator>openpyxl</dc:creator>
  <dc:description/>
  <dc:language>en-US</dc:language>
  <cp:lastModifiedBy/>
  <dcterms:modified xsi:type="dcterms:W3CDTF">2026-06-28T00:34:48Z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