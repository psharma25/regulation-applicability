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ales" sheetId="2" state="visible" r:id="rId4"/>
    <sheet name="Risk Taxonom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<sst xmlns="http://schemas.openxmlformats.org/spreadsheetml/2006/main" count="181" uniqueCount="161">
  <si>
    <t xml:space="preserve">Finance Risk Assessment (ISO 31000 / COSO ERM / Basel taxonomy)</t>
  </si>
  <si>
    <t xml:space="preserve">Risk ID</t>
  </si>
  <si>
    <t xml:space="preserve">Risk category</t>
  </si>
  <si>
    <t xml:space="preserve">Risk subcategory</t>
  </si>
  <si>
    <t xml:space="preserve">Risk event / scenario</t>
  </si>
  <si>
    <t xml:space="preserve">Cause / driver</t>
  </si>
  <si>
    <t xml:space="preserve">Consequence</t>
  </si>
  <si>
    <t xml:space="preserve">Risk owner</t>
  </si>
  <si>
    <t xml:space="preserve">L</t>
  </si>
  <si>
    <t xml:space="preserve">I</t>
  </si>
  <si>
    <t xml:space="preserve">Inherent Score</t>
  </si>
  <si>
    <t xml:space="preserve">Inherent Level</t>
  </si>
  <si>
    <t xml:space="preserve">Acceptability</t>
  </si>
  <si>
    <t xml:space="preserve">Financial Exposure ($)</t>
  </si>
  <si>
    <t xml:space="preserve">Annual Prob. (%)</t>
  </si>
  <si>
    <t xml:space="preserve">Expected Annual Loss ($)</t>
  </si>
  <si>
    <t xml:space="preserve">Treatment strategy</t>
  </si>
  <si>
    <t xml:space="preserve">Control / mitigation</t>
  </si>
  <si>
    <t xml:space="preserve">Control effectiveness (1-5)</t>
  </si>
  <si>
    <t xml:space="preserve">L'</t>
  </si>
  <si>
    <t xml:space="preserve">I'</t>
  </si>
  <si>
    <t xml:space="preserve">Residual Score</t>
  </si>
  <si>
    <t xml:space="preserve">Residual Level</t>
  </si>
  <si>
    <t xml:space="preserve">Residual Acceptability</t>
  </si>
  <si>
    <t xml:space="preserve">Key Risk Indicator / trigger</t>
  </si>
  <si>
    <t xml:space="preserve">KRI vs appetite</t>
  </si>
  <si>
    <t xml:space="preserve">Status</t>
  </si>
  <si>
    <t xml:space="preserve">FIN-001</t>
  </si>
  <si>
    <t xml:space="preserve">Credit</t>
  </si>
  <si>
    <t xml:space="preserve">Default risk</t>
  </si>
  <si>
    <t xml:space="preserve">Counterparty default in loan portfolio</t>
  </si>
  <si>
    <t xml:space="preserve">Economic downturn raises default rates</t>
  </si>
  <si>
    <t xml:space="preserve">Credit losses exceed provisions</t>
  </si>
  <si>
    <t xml:space="preserve">CRO</t>
  </si>
  <si>
    <t xml:space="preserve">Reduce</t>
  </si>
  <si>
    <t xml:space="preserve">Tighten underwriting, collateral &amp; single-name limits</t>
  </si>
  <si>
    <t xml:space="preserve">NPL ratio &gt; 3%</t>
  </si>
  <si>
    <t xml:space="preserve">Within appetite</t>
  </si>
  <si>
    <t xml:space="preserve">FIN-002</t>
  </si>
  <si>
    <t xml:space="preserve">Market</t>
  </si>
  <si>
    <t xml:space="preserve">Interest-rate risk</t>
  </si>
  <si>
    <t xml:space="preserve">Rate shock erodes bond portfolio</t>
  </si>
  <si>
    <t xml:space="preserve">Rapid central-bank rate moves</t>
  </si>
  <si>
    <t xml:space="preserve">Mark-to-market loss on AFS book</t>
  </si>
  <si>
    <t xml:space="preserve">Head of Treasury</t>
  </si>
  <si>
    <t xml:space="preserve">Duration hedging via interest-rate swaps</t>
  </si>
  <si>
    <t xml:space="preserve">DV01 above limit</t>
  </si>
  <si>
    <t xml:space="preserve">FIN-003</t>
  </si>
  <si>
    <t xml:space="preserve">Liquidity</t>
  </si>
  <si>
    <t xml:space="preserve">Funding liquidity</t>
  </si>
  <si>
    <t xml:space="preserve">Funding run / deposit outflow</t>
  </si>
  <si>
    <t xml:space="preserve">Loss of market confidence</t>
  </si>
  <si>
    <t xml:space="preserve">Inability to meet obligations as due</t>
  </si>
  <si>
    <t xml:space="preserve">Treasurer</t>
  </si>
  <si>
    <t xml:space="preserve">LCR buffer + contingency funding plan</t>
  </si>
  <si>
    <t xml:space="preserve">LCR &lt; 110%</t>
  </si>
  <si>
    <t xml:space="preserve">Breach</t>
  </si>
  <si>
    <t xml:space="preserve">FIN-004</t>
  </si>
  <si>
    <t xml:space="preserve">Compliance</t>
  </si>
  <si>
    <t xml:space="preserve">AML / KYC</t>
  </si>
  <si>
    <t xml:space="preserve">Regulatory fine for AML control failure</t>
  </si>
  <si>
    <t xml:space="preserve">Gaps in transaction monitoring</t>
  </si>
  <si>
    <t xml:space="preserve">Penalty + remediation + reputational harm</t>
  </si>
  <si>
    <t xml:space="preserve">CCO</t>
  </si>
  <si>
    <t xml:space="preserve">Enhanced KYC + automated monitoring + audit</t>
  </si>
  <si>
    <t xml:space="preserve">SAR backlog &gt; 30 days</t>
  </si>
  <si>
    <t xml:space="preserve">Scoring Scales &amp; Risk Acceptability</t>
  </si>
  <si>
    <t xml:space="preserve">LIKELIHOOD (L)</t>
  </si>
  <si>
    <t xml:space="preserve">ACCEPTABILITY (Risk Score = L x I, 1-25)</t>
  </si>
  <si>
    <t xml:space="preserve">Thresholds used by formulas (do not move):</t>
  </si>
  <si>
    <t xml:space="preserve">Intolerable &gt;=</t>
  </si>
  <si>
    <t xml:space="preserve">Rare</t>
  </si>
  <si>
    <t xml:space="preserve">&lt; 1%</t>
  </si>
  <si>
    <t xml:space="preserve">Intolerable</t>
  </si>
  <si>
    <t xml:space="preserve">Unacceptable - must reduce risk before proceeding</t>
  </si>
  <si>
    <t xml:space="preserve">High &gt;=</t>
  </si>
  <si>
    <t xml:space="preserve">Unlikely</t>
  </si>
  <si>
    <t xml:space="preserve">1-5%</t>
  </si>
  <si>
    <t xml:space="preserve">High</t>
  </si>
  <si>
    <t xml:space="preserve">Undesirable - reduce as far as possible (ALARP); justify residual</t>
  </si>
  <si>
    <t xml:space="preserve">Medium &gt;=</t>
  </si>
  <si>
    <t xml:space="preserve">Possible</t>
  </si>
  <si>
    <t xml:space="preserve">5-25%</t>
  </si>
  <si>
    <t xml:space="preserve">Medium</t>
  </si>
  <si>
    <t xml:space="preserve">Acceptable with review / documented controls</t>
  </si>
  <si>
    <t xml:space="preserve">Likely</t>
  </si>
  <si>
    <t xml:space="preserve">25-50%</t>
  </si>
  <si>
    <t xml:space="preserve">Low</t>
  </si>
  <si>
    <t xml:space="preserve">Broadly acceptable - no further action required</t>
  </si>
  <si>
    <t xml:space="preserve">Almost certain</t>
  </si>
  <si>
    <t xml:space="preserve">&gt; 50%</t>
  </si>
  <si>
    <t xml:space="preserve">IMPACT (I) — financial severity</t>
  </si>
  <si>
    <t xml:space="preserve">RISK MATRIX (cell = Impa x Like)</t>
  </si>
  <si>
    <t xml:space="preserve">Impact\Likelihood</t>
  </si>
  <si>
    <t xml:space="preserve">Insignificant</t>
  </si>
  <si>
    <t xml:space="preserve">&lt; $50k; no regulatory attention</t>
  </si>
  <si>
    <t xml:space="preserve">Minor</t>
  </si>
  <si>
    <t xml:space="preserve">$50k-$500k; minor breach</t>
  </si>
  <si>
    <t xml:space="preserve">Moderate</t>
  </si>
  <si>
    <t xml:space="preserve">$500k-$5M; reportable issue</t>
  </si>
  <si>
    <t xml:space="preserve">Major</t>
  </si>
  <si>
    <t xml:space="preserve">$5M-$50M; regulatory action / restatement</t>
  </si>
  <si>
    <t xml:space="preserve">Severe</t>
  </si>
  <si>
    <t xml:space="preserve">&gt; $50M; solvency threat / licence risk</t>
  </si>
  <si>
    <t xml:space="preserve">Expected Annual Loss = Financial Exposure ($) x Annual Probability (%). See Risk Taxonomy sheet.</t>
  </si>
  <si>
    <t xml:space="preserve">Risk Taxonomy — ISO 31000 / COSO ERM / Basel</t>
  </si>
  <si>
    <t xml:space="preserve">L1 Category</t>
  </si>
  <si>
    <t xml:space="preserve">L2 Subcategory</t>
  </si>
  <si>
    <t xml:space="preserve">Typical driver</t>
  </si>
  <si>
    <t xml:space="preserve">Example KRI</t>
  </si>
  <si>
    <t xml:space="preserve">Typical treatment</t>
  </si>
  <si>
    <t xml:space="preserve">Borrower deterioration / downturn</t>
  </si>
  <si>
    <t xml:space="preserve">NPL ratio</t>
  </si>
  <si>
    <t xml:space="preserve">Collateral + single-name limits</t>
  </si>
  <si>
    <t xml:space="preserve">Concentration risk</t>
  </si>
  <si>
    <t xml:space="preserve">Sector or single-name exposure</t>
  </si>
  <si>
    <t xml:space="preserve">Single-name % of capital</t>
  </si>
  <si>
    <t xml:space="preserve">Diversification limits</t>
  </si>
  <si>
    <t xml:space="preserve">Rate volatility</t>
  </si>
  <si>
    <t xml:space="preserve">DV01 / duration gap</t>
  </si>
  <si>
    <t xml:space="preserve">Interest-rate swaps (hedging)</t>
  </si>
  <si>
    <t xml:space="preserve">FX risk</t>
  </si>
  <si>
    <t xml:space="preserve">Currency moves</t>
  </si>
  <si>
    <t xml:space="preserve">Open FX position</t>
  </si>
  <si>
    <t xml:space="preserve">FX hedges</t>
  </si>
  <si>
    <t xml:space="preserve">Equity / commodity</t>
  </si>
  <si>
    <t xml:space="preserve">Price volatility</t>
  </si>
  <si>
    <t xml:space="preserve">Value at Risk (VaR)</t>
  </si>
  <si>
    <t xml:space="preserve">Position limits</t>
  </si>
  <si>
    <t xml:space="preserve">Deposit outflow / loss of confidence</t>
  </si>
  <si>
    <t xml:space="preserve">LCR / NSFR</t>
  </si>
  <si>
    <t xml:space="preserve">Liquidity buffer + contingency funding plan</t>
  </si>
  <si>
    <t xml:space="preserve">Market liquidity</t>
  </si>
  <si>
    <t xml:space="preserve">Asset illiquidity</t>
  </si>
  <si>
    <t xml:space="preserve">Days-to-liquidate / bid-ask</t>
  </si>
  <si>
    <t xml:space="preserve">Hold high-quality liquid assets</t>
  </si>
  <si>
    <t xml:space="preserve">Operational</t>
  </si>
  <si>
    <t xml:space="preserve">Process failure</t>
  </si>
  <si>
    <t xml:space="preserve">Manual error / breaks</t>
  </si>
  <si>
    <t xml:space="preserve">Error rate / reconciliation breaks</t>
  </si>
  <si>
    <t xml:space="preserve">Automation + controls</t>
  </si>
  <si>
    <t xml:space="preserve">Fraud</t>
  </si>
  <si>
    <t xml:space="preserve">Internal or external fraud</t>
  </si>
  <si>
    <t xml:space="preserve">Fraud loss / alert volume</t>
  </si>
  <si>
    <t xml:space="preserve">Segregation of duties</t>
  </si>
  <si>
    <t xml:space="preserve">Cyber / IT</t>
  </si>
  <si>
    <t xml:space="preserve">System compromise or outage</t>
  </si>
  <si>
    <t xml:space="preserve">Incident count / downtime</t>
  </si>
  <si>
    <t xml:space="preserve">Security &amp; resilience controls</t>
  </si>
  <si>
    <t xml:space="preserve">Monitoring gaps</t>
  </si>
  <si>
    <t xml:space="preserve">SAR backlog</t>
  </si>
  <si>
    <t xml:space="preserve">Enhanced monitoring + KYC</t>
  </si>
  <si>
    <t xml:space="preserve">Conduct / regulatory</t>
  </si>
  <si>
    <t xml:space="preserve">Rule breaches</t>
  </si>
  <si>
    <t xml:space="preserve">Findings / fines</t>
  </si>
  <si>
    <t xml:space="preserve">Compliance program + training</t>
  </si>
  <si>
    <t xml:space="preserve">Strategic</t>
  </si>
  <si>
    <t xml:space="preserve">Business model</t>
  </si>
  <si>
    <t xml:space="preserve">Market / tech shift</t>
  </si>
  <si>
    <t xml:space="preserve">Revenue decline vs plan</t>
  </si>
  <si>
    <t xml:space="preserve">Strategy review + diversification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</si>
</sst>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D966"/>
        <bgColor rgb="FFFFEB9C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CCFFFF"/>
      </patternFill>
    </fill>
    <fill>
      <patternFill patternType="solid">
        <fgColor rgb="FFF2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9" min="8" style="0" width="5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26"/>
    <col collapsed="false" customWidth="true" hidden="false" outlineLevel="0" max="18" min="18" style="0" width="11"/>
    <col collapsed="false" customWidth="true" hidden="false" outlineLevel="0" max="20" min="19" style="0" width="5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22"/>
    <col collapsed="false" customWidth="true" hidden="false" outlineLevel="0" max="25" min="25" style="0" width="13"/>
    <col collapsed="false" customWidth="true" hidden="false" outlineLevel="0" max="26" min="26" style="0" width="10"/>
  </cols>
  <sheetData>
    <row r="1" customFormat="false" ht="16.1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customFormat="false" ht="49.5" hidden="false" customHeight="true" outlineLevel="0" collapsed="false">
      <c r="A3" s="3" t="s">
        <v>27</v>
      </c>
      <c r="B3" s="4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5" t="n">
        <v>3</v>
      </c>
      <c r="I3" s="5" t="n">
        <v>4</v>
      </c>
      <c r="J3" s="6" t="n">
        <f aca="false">IF(OR(H3="",I3=""),"",H3*I3)</f>
        <v>12</v>
      </c>
      <c r="K3" s="6" t="str">
        <f aca="false">IF(J3="","",IF(J3&gt;=Scales!$P$5,"Intolerable",IF(J3&gt;=Scales!$P$6,"High",IF(J3&gt;=Scales!$P$7,"Medium","Low"))))</f>
        <v>High</v>
      </c>
      <c r="L3" s="6" t="str">
        <f aca="false">IF(J3="","",IF(J3&gt;=Scales!$P$5,"Unacceptable",IF(J3&gt;=Scales!$P$6,"Reduce (ALARP)",IF(J3&gt;=Scales!$P$7,"Acceptable w/ review","Acceptable"))))</f>
        <v>Reduce (ALARP)</v>
      </c>
      <c r="M3" s="7" t="n">
        <v>5000000</v>
      </c>
      <c r="N3" s="8" t="n">
        <v>0.04</v>
      </c>
      <c r="O3" s="9" t="n">
        <f aca="false">IF(OR(M3="",N3=""),"",M3*N3)</f>
        <v>200000</v>
      </c>
      <c r="P3" s="4" t="s">
        <v>34</v>
      </c>
      <c r="Q3" s="3" t="s">
        <v>35</v>
      </c>
      <c r="R3" s="5" t="n">
        <v>4</v>
      </c>
      <c r="S3" s="5" t="n">
        <v>2</v>
      </c>
      <c r="T3" s="5" t="n">
        <v>3</v>
      </c>
      <c r="U3" s="6" t="n">
        <f aca="false">IF(OR(S3="",T3=""),"",S3*T3)</f>
        <v>6</v>
      </c>
      <c r="V3" s="6" t="str">
        <f aca="false">IF(U3="","",IF(U3&gt;=Scales!$P$5,"Intolerable",IF(U3&gt;=Scales!$P$6,"High",IF(U3&gt;=Scales!$P$7,"Medium","Low"))))</f>
        <v>Medium</v>
      </c>
      <c r="W3" s="6" t="str">
        <f aca="false">IF(U3="","",IF(U3&gt;=Scales!$P$5,"Unacceptable",IF(U3&gt;=Scales!$P$6,"Reduce (ALARP)",IF(U3&gt;=Scales!$P$7,"Acceptable w/ review","Acceptable"))))</f>
        <v>Acceptable w/ review</v>
      </c>
      <c r="X3" s="3" t="s">
        <v>36</v>
      </c>
      <c r="Y3" s="4" t="s">
        <v>37</v>
      </c>
      <c r="Z3" s="6" t="str">
        <f aca="false">IF(W3="","",IF(OR(W3="Unacceptable",L3="Unacceptable"),"OPEN","Monitor"))</f>
        <v>Monitor</v>
      </c>
    </row>
    <row r="4" customFormat="false" ht="49.5" hidden="false" customHeight="true" outlineLevel="0" collapsed="false">
      <c r="A4" s="3" t="s">
        <v>38</v>
      </c>
      <c r="B4" s="4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5" t="n">
        <v>3</v>
      </c>
      <c r="I4" s="5" t="n">
        <v>3</v>
      </c>
      <c r="J4" s="6" t="n">
        <f aca="false">IF(OR(H4="",I4=""),"",H4*I4)</f>
        <v>9</v>
      </c>
      <c r="K4" s="6" t="str">
        <f aca="false">IF(J4="","",IF(J4&gt;=Scales!$P$5,"Intolerable",IF(J4&gt;=Scales!$P$6,"High",IF(J4&gt;=Scales!$P$7,"Medium","Low"))))</f>
        <v>Medium</v>
      </c>
      <c r="L4" s="6" t="str">
        <f aca="false">IF(J4="","",IF(J4&gt;=Scales!$P$5,"Unacceptable",IF(J4&gt;=Scales!$P$6,"Reduce (ALARP)",IF(J4&gt;=Scales!$P$7,"Acceptable w/ review","Acceptable"))))</f>
        <v>Acceptable w/ review</v>
      </c>
      <c r="M4" s="7" t="n">
        <v>8000000</v>
      </c>
      <c r="N4" s="8" t="n">
        <v>0.05</v>
      </c>
      <c r="O4" s="9" t="n">
        <f aca="false">IF(OR(M4="",N4=""),"",M4*N4)</f>
        <v>400000</v>
      </c>
      <c r="P4" s="4" t="s">
        <v>34</v>
      </c>
      <c r="Q4" s="3" t="s">
        <v>45</v>
      </c>
      <c r="R4" s="5" t="n">
        <v>4</v>
      </c>
      <c r="S4" s="5" t="n">
        <v>2</v>
      </c>
      <c r="T4" s="5" t="n">
        <v>3</v>
      </c>
      <c r="U4" s="6" t="n">
        <f aca="false">IF(OR(S4="",T4=""),"",S4*T4)</f>
        <v>6</v>
      </c>
      <c r="V4" s="6" t="str">
        <f aca="false">IF(U4="","",IF(U4&gt;=Scales!$P$5,"Intolerable",IF(U4&gt;=Scales!$P$6,"High",IF(U4&gt;=Scales!$P$7,"Medium","Low"))))</f>
        <v>Medium</v>
      </c>
      <c r="W4" s="6" t="str">
        <f aca="false">IF(U4="","",IF(U4&gt;=Scales!$P$5,"Unacceptable",IF(U4&gt;=Scales!$P$6,"Reduce (ALARP)",IF(U4&gt;=Scales!$P$7,"Acceptable w/ review","Acceptable"))))</f>
        <v>Acceptable w/ review</v>
      </c>
      <c r="X4" s="3" t="s">
        <v>46</v>
      </c>
      <c r="Y4" s="4" t="s">
        <v>37</v>
      </c>
      <c r="Z4" s="6" t="str">
        <f aca="false">IF(W4="","",IF(OR(W4="Unacceptable",L4="Unacceptable"),"OPEN","Monitor"))</f>
        <v>Monitor</v>
      </c>
    </row>
    <row r="5" customFormat="false" ht="49.5" hidden="false" customHeight="true" outlineLevel="0" collapsed="false">
      <c r="A5" s="3" t="s">
        <v>47</v>
      </c>
      <c r="B5" s="4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5" t="n">
        <v>2</v>
      </c>
      <c r="I5" s="5" t="n">
        <v>5</v>
      </c>
      <c r="J5" s="6" t="n">
        <f aca="false">IF(OR(H5="",I5=""),"",H5*I5)</f>
        <v>10</v>
      </c>
      <c r="K5" s="6" t="str">
        <f aca="false">IF(J5="","",IF(J5&gt;=Scales!$P$5,"Intolerable",IF(J5&gt;=Scales!$P$6,"High",IF(J5&gt;=Scales!$P$7,"Medium","Low"))))</f>
        <v>High</v>
      </c>
      <c r="L5" s="6" t="str">
        <f aca="false">IF(J5="","",IF(J5&gt;=Scales!$P$5,"Unacceptable",IF(J5&gt;=Scales!$P$6,"Reduce (ALARP)",IF(J5&gt;=Scales!$P$7,"Acceptable w/ review","Acceptable"))))</f>
        <v>Reduce (ALARP)</v>
      </c>
      <c r="M5" s="7" t="n">
        <v>10000000</v>
      </c>
      <c r="N5" s="8" t="n">
        <v>0.02</v>
      </c>
      <c r="O5" s="9" t="n">
        <f aca="false">IF(OR(M5="",N5=""),"",M5*N5)</f>
        <v>200000</v>
      </c>
      <c r="P5" s="4" t="s">
        <v>34</v>
      </c>
      <c r="Q5" s="3" t="s">
        <v>54</v>
      </c>
      <c r="R5" s="5" t="n">
        <v>4</v>
      </c>
      <c r="S5" s="5" t="n">
        <v>2</v>
      </c>
      <c r="T5" s="5" t="n">
        <v>4</v>
      </c>
      <c r="U5" s="6" t="n">
        <f aca="false">IF(OR(S5="",T5=""),"",S5*T5)</f>
        <v>8</v>
      </c>
      <c r="V5" s="6" t="str">
        <f aca="false">IF(U5="","",IF(U5&gt;=Scales!$P$5,"Intolerable",IF(U5&gt;=Scales!$P$6,"High",IF(U5&gt;=Scales!$P$7,"Medium","Low"))))</f>
        <v>Medium</v>
      </c>
      <c r="W5" s="6" t="str">
        <f aca="false">IF(U5="","",IF(U5&gt;=Scales!$P$5,"Unacceptable",IF(U5&gt;=Scales!$P$6,"Reduce (ALARP)",IF(U5&gt;=Scales!$P$7,"Acceptable w/ review","Acceptable"))))</f>
        <v>Acceptable w/ review</v>
      </c>
      <c r="X5" s="3" t="s">
        <v>55</v>
      </c>
      <c r="Y5" s="4" t="s">
        <v>56</v>
      </c>
      <c r="Z5" s="6" t="str">
        <f aca="false">IF(W5="","",IF(OR(W5="Unacceptable",L5="Unacceptable"),"OPEN","Monitor"))</f>
        <v>Monitor</v>
      </c>
    </row>
    <row r="6" customFormat="false" ht="49.5" hidden="false" customHeight="true" outlineLevel="0" collapsed="false">
      <c r="A6" s="3" t="s">
        <v>57</v>
      </c>
      <c r="B6" s="4" t="s">
        <v>58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5" t="n">
        <v>2</v>
      </c>
      <c r="I6" s="5" t="n">
        <v>4</v>
      </c>
      <c r="J6" s="6" t="n">
        <f aca="false">IF(OR(H6="",I6=""),"",H6*I6)</f>
        <v>8</v>
      </c>
      <c r="K6" s="6" t="str">
        <f aca="false">IF(J6="","",IF(J6&gt;=Scales!$P$5,"Intolerable",IF(J6&gt;=Scales!$P$6,"High",IF(J6&gt;=Scales!$P$7,"Medium","Low"))))</f>
        <v>Medium</v>
      </c>
      <c r="L6" s="6" t="str">
        <f aca="false">IF(J6="","",IF(J6&gt;=Scales!$P$5,"Unacceptable",IF(J6&gt;=Scales!$P$6,"Reduce (ALARP)",IF(J6&gt;=Scales!$P$7,"Acceptable w/ review","Acceptable"))))</f>
        <v>Acceptable w/ review</v>
      </c>
      <c r="M6" s="7" t="n">
        <v>3000000</v>
      </c>
      <c r="N6" s="8" t="n">
        <v>0.06</v>
      </c>
      <c r="O6" s="9" t="n">
        <f aca="false">IF(OR(M6="",N6=""),"",M6*N6)</f>
        <v>180000</v>
      </c>
      <c r="P6" s="4" t="s">
        <v>34</v>
      </c>
      <c r="Q6" s="3" t="s">
        <v>64</v>
      </c>
      <c r="R6" s="5" t="n">
        <v>3</v>
      </c>
      <c r="S6" s="5" t="n">
        <v>1</v>
      </c>
      <c r="T6" s="5" t="n">
        <v>3</v>
      </c>
      <c r="U6" s="6" t="n">
        <f aca="false">IF(OR(S6="",T6=""),"",S6*T6)</f>
        <v>3</v>
      </c>
      <c r="V6" s="6" t="str">
        <f aca="false">IF(U6="","",IF(U6&gt;=Scales!$P$5,"Intolerable",IF(U6&gt;=Scales!$P$6,"High",IF(U6&gt;=Scales!$P$7,"Medium","Low"))))</f>
        <v>Low</v>
      </c>
      <c r="W6" s="6" t="str">
        <f aca="false">IF(U6="","",IF(U6&gt;=Scales!$P$5,"Unacceptable",IF(U6&gt;=Scales!$P$6,"Reduce (ALARP)",IF(U6&gt;=Scales!$P$7,"Acceptable w/ review","Acceptable"))))</f>
        <v>Acceptable</v>
      </c>
      <c r="X6" s="3" t="s">
        <v>65</v>
      </c>
      <c r="Y6" s="4" t="s">
        <v>37</v>
      </c>
      <c r="Z6" s="6" t="str">
        <f aca="false">IF(W6="","",IF(OR(W6="Unacceptable",L6="Unacceptable"),"OPEN","Monitor"))</f>
        <v>Monitor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6" t="str">
        <f aca="false">IF(OR(H7="",I7=""),"",H7*I7)</f>
        <v/>
      </c>
      <c r="K7" s="6" t="str">
        <f aca="false">IF(J7="","",IF(J7&gt;=Scales!$P$5,"Intolerable",IF(J7&gt;=Scales!$P$6,"High",IF(J7&gt;=Scales!$P$7,"Medium","Low"))))</f>
        <v/>
      </c>
      <c r="L7" s="6" t="str">
        <f aca="false">IF(J7="","",IF(J7&gt;=Scales!$P$5,"Unacceptable",IF(J7&gt;=Scales!$P$6,"Reduce (ALARP)",IF(J7&gt;=Scales!$P$7,"Acceptable w/ review","Acceptable"))))</f>
        <v/>
      </c>
      <c r="M7" s="11"/>
      <c r="N7" s="12"/>
      <c r="O7" s="9" t="str">
        <f aca="false">IF(OR(M7="",N7=""),"",M7*N7)</f>
        <v/>
      </c>
      <c r="P7" s="10"/>
      <c r="Q7" s="10"/>
      <c r="R7" s="10"/>
      <c r="S7" s="10"/>
      <c r="T7" s="10"/>
      <c r="U7" s="6" t="str">
        <f aca="false">IF(OR(S7="",T7=""),"",S7*T7)</f>
        <v/>
      </c>
      <c r="V7" s="6" t="str">
        <f aca="false">IF(U7="","",IF(U7&gt;=Scales!$P$5,"Intolerable",IF(U7&gt;=Scales!$P$6,"High",IF(U7&gt;=Scales!$P$7,"Medium","Low"))))</f>
        <v/>
      </c>
      <c r="W7" s="6" t="str">
        <f aca="false">IF(U7="","",IF(U7&gt;=Scales!$P$5,"Unacceptable",IF(U7&gt;=Scales!$P$6,"Reduce (ALARP)",IF(U7&gt;=Scales!$P$7,"Acceptable w/ review","Acceptable"))))</f>
        <v/>
      </c>
      <c r="X7" s="10"/>
      <c r="Y7" s="10"/>
      <c r="Z7" s="6" t="str">
        <f aca="false">IF(W7="","",IF(OR(W7="Unacceptable",L7="Unacceptable"),"OPEN","Monitor"))</f>
        <v/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6" t="str">
        <f aca="false">IF(OR(H8="",I8=""),"",H8*I8)</f>
        <v/>
      </c>
      <c r="K8" s="6" t="str">
        <f aca="false">IF(J8="","",IF(J8&gt;=Scales!$P$5,"Intolerable",IF(J8&gt;=Scales!$P$6,"High",IF(J8&gt;=Scales!$P$7,"Medium","Low"))))</f>
        <v/>
      </c>
      <c r="L8" s="6" t="str">
        <f aca="false">IF(J8="","",IF(J8&gt;=Scales!$P$5,"Unacceptable",IF(J8&gt;=Scales!$P$6,"Reduce (ALARP)",IF(J8&gt;=Scales!$P$7,"Acceptable w/ review","Acceptable"))))</f>
        <v/>
      </c>
      <c r="M8" s="11"/>
      <c r="N8" s="12"/>
      <c r="O8" s="9" t="str">
        <f aca="false">IF(OR(M8="",N8=""),"",M8*N8)</f>
        <v/>
      </c>
      <c r="P8" s="10"/>
      <c r="Q8" s="10"/>
      <c r="R8" s="10"/>
      <c r="S8" s="10"/>
      <c r="T8" s="10"/>
      <c r="U8" s="6" t="str">
        <f aca="false">IF(OR(S8="",T8=""),"",S8*T8)</f>
        <v/>
      </c>
      <c r="V8" s="6" t="str">
        <f aca="false">IF(U8="","",IF(U8&gt;=Scales!$P$5,"Intolerable",IF(U8&gt;=Scales!$P$6,"High",IF(U8&gt;=Scales!$P$7,"Medium","Low"))))</f>
        <v/>
      </c>
      <c r="W8" s="6" t="str">
        <f aca="false">IF(U8="","",IF(U8&gt;=Scales!$P$5,"Unacceptable",IF(U8&gt;=Scales!$P$6,"Reduce (ALARP)",IF(U8&gt;=Scales!$P$7,"Acceptable w/ review","Acceptable"))))</f>
        <v/>
      </c>
      <c r="X8" s="10"/>
      <c r="Y8" s="10"/>
      <c r="Z8" s="6" t="str">
        <f aca="false">IF(W8="","",IF(OR(W8="Unacceptable",L8="Unacceptable"),"OPEN","Monitor"))</f>
        <v/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6" t="str">
        <f aca="false">IF(OR(H9="",I9=""),"",H9*I9)</f>
        <v/>
      </c>
      <c r="K9" s="6" t="str">
        <f aca="false">IF(J9="","",IF(J9&gt;=Scales!$P$5,"Intolerable",IF(J9&gt;=Scales!$P$6,"High",IF(J9&gt;=Scales!$P$7,"Medium","Low"))))</f>
        <v/>
      </c>
      <c r="L9" s="6" t="str">
        <f aca="false">IF(J9="","",IF(J9&gt;=Scales!$P$5,"Unacceptable",IF(J9&gt;=Scales!$P$6,"Reduce (ALARP)",IF(J9&gt;=Scales!$P$7,"Acceptable w/ review","Acceptable"))))</f>
        <v/>
      </c>
      <c r="M9" s="11"/>
      <c r="N9" s="12"/>
      <c r="O9" s="9" t="str">
        <f aca="false">IF(OR(M9="",N9=""),"",M9*N9)</f>
        <v/>
      </c>
      <c r="P9" s="10"/>
      <c r="Q9" s="10"/>
      <c r="R9" s="10"/>
      <c r="S9" s="10"/>
      <c r="T9" s="10"/>
      <c r="U9" s="6" t="str">
        <f aca="false">IF(OR(S9="",T9=""),"",S9*T9)</f>
        <v/>
      </c>
      <c r="V9" s="6" t="str">
        <f aca="false">IF(U9="","",IF(U9&gt;=Scales!$P$5,"Intolerable",IF(U9&gt;=Scales!$P$6,"High",IF(U9&gt;=Scales!$P$7,"Medium","Low"))))</f>
        <v/>
      </c>
      <c r="W9" s="6" t="str">
        <f aca="false">IF(U9="","",IF(U9&gt;=Scales!$P$5,"Unacceptable",IF(U9&gt;=Scales!$P$6,"Reduce (ALARP)",IF(U9&gt;=Scales!$P$7,"Acceptable w/ review","Acceptable"))))</f>
        <v/>
      </c>
      <c r="X9" s="10"/>
      <c r="Y9" s="10"/>
      <c r="Z9" s="6" t="str">
        <f aca="false">IF(W9="","",IF(OR(W9="Unacceptable",L9="Unacceptable"),"OPEN","Monitor"))</f>
        <v/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6" t="str">
        <f aca="false">IF(OR(H10="",I10=""),"",H10*I10)</f>
        <v/>
      </c>
      <c r="K10" s="6" t="str">
        <f aca="false">IF(J10="","",IF(J10&gt;=Scales!$P$5,"Intolerable",IF(J10&gt;=Scales!$P$6,"High",IF(J10&gt;=Scales!$P$7,"Medium","Low"))))</f>
        <v/>
      </c>
      <c r="L10" s="6" t="str">
        <f aca="false">IF(J10="","",IF(J10&gt;=Scales!$P$5,"Unacceptable",IF(J10&gt;=Scales!$P$6,"Reduce (ALARP)",IF(J10&gt;=Scales!$P$7,"Acceptable w/ review","Acceptable"))))</f>
        <v/>
      </c>
      <c r="M10" s="11"/>
      <c r="N10" s="12"/>
      <c r="O10" s="9" t="str">
        <f aca="false">IF(OR(M10="",N10=""),"",M10*N10)</f>
        <v/>
      </c>
      <c r="P10" s="10"/>
      <c r="Q10" s="10"/>
      <c r="R10" s="10"/>
      <c r="S10" s="10"/>
      <c r="T10" s="10"/>
      <c r="U10" s="6" t="str">
        <f aca="false">IF(OR(S10="",T10=""),"",S10*T10)</f>
        <v/>
      </c>
      <c r="V10" s="6" t="str">
        <f aca="false">IF(U10="","",IF(U10&gt;=Scales!$P$5,"Intolerable",IF(U10&gt;=Scales!$P$6,"High",IF(U10&gt;=Scales!$P$7,"Medium","Low"))))</f>
        <v/>
      </c>
      <c r="W10" s="6" t="str">
        <f aca="false">IF(U10="","",IF(U10&gt;=Scales!$P$5,"Unacceptable",IF(U10&gt;=Scales!$P$6,"Reduce (ALARP)",IF(U10&gt;=Scales!$P$7,"Acceptable w/ review","Acceptable"))))</f>
        <v/>
      </c>
      <c r="X10" s="10"/>
      <c r="Y10" s="10"/>
      <c r="Z10" s="6" t="str">
        <f aca="false">IF(W10="","",IF(OR(W10="Unacceptable",L10="Unacceptable"),"OPEN","Monitor"))</f>
        <v/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6" t="str">
        <f aca="false">IF(OR(H11="",I11=""),"",H11*I11)</f>
        <v/>
      </c>
      <c r="K11" s="6" t="str">
        <f aca="false">IF(J11="","",IF(J11&gt;=Scales!$P$5,"Intolerable",IF(J11&gt;=Scales!$P$6,"High",IF(J11&gt;=Scales!$P$7,"Medium","Low"))))</f>
        <v/>
      </c>
      <c r="L11" s="6" t="str">
        <f aca="false">IF(J11="","",IF(J11&gt;=Scales!$P$5,"Unacceptable",IF(J11&gt;=Scales!$P$6,"Reduce (ALARP)",IF(J11&gt;=Scales!$P$7,"Acceptable w/ review","Acceptable"))))</f>
        <v/>
      </c>
      <c r="M11" s="11"/>
      <c r="N11" s="12"/>
      <c r="O11" s="9" t="str">
        <f aca="false">IF(OR(M11="",N11=""),"",M11*N11)</f>
        <v/>
      </c>
      <c r="P11" s="10"/>
      <c r="Q11" s="10"/>
      <c r="R11" s="10"/>
      <c r="S11" s="10"/>
      <c r="T11" s="10"/>
      <c r="U11" s="6" t="str">
        <f aca="false">IF(OR(S11="",T11=""),"",S11*T11)</f>
        <v/>
      </c>
      <c r="V11" s="6" t="str">
        <f aca="false">IF(U11="","",IF(U11&gt;=Scales!$P$5,"Intolerable",IF(U11&gt;=Scales!$P$6,"High",IF(U11&gt;=Scales!$P$7,"Medium","Low"))))</f>
        <v/>
      </c>
      <c r="W11" s="6" t="str">
        <f aca="false">IF(U11="","",IF(U11&gt;=Scales!$P$5,"Unacceptable",IF(U11&gt;=Scales!$P$6,"Reduce (ALARP)",IF(U11&gt;=Scales!$P$7,"Acceptable w/ review","Acceptable"))))</f>
        <v/>
      </c>
      <c r="X11" s="10"/>
      <c r="Y11" s="10"/>
      <c r="Z11" s="6" t="str">
        <f aca="false">IF(W11="","",IF(OR(W11="Unacceptable",L11="Unacceptable"),"OPEN","Monitor"))</f>
        <v/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6" t="str">
        <f aca="false">IF(OR(H12="",I12=""),"",H12*I12)</f>
        <v/>
      </c>
      <c r="K12" s="6" t="str">
        <f aca="false">IF(J12="","",IF(J12&gt;=Scales!$P$5,"Intolerable",IF(J12&gt;=Scales!$P$6,"High",IF(J12&gt;=Scales!$P$7,"Medium","Low"))))</f>
        <v/>
      </c>
      <c r="L12" s="6" t="str">
        <f aca="false">IF(J12="","",IF(J12&gt;=Scales!$P$5,"Unacceptable",IF(J12&gt;=Scales!$P$6,"Reduce (ALARP)",IF(J12&gt;=Scales!$P$7,"Acceptable w/ review","Acceptable"))))</f>
        <v/>
      </c>
      <c r="M12" s="11"/>
      <c r="N12" s="12"/>
      <c r="O12" s="9" t="str">
        <f aca="false">IF(OR(M12="",N12=""),"",M12*N12)</f>
        <v/>
      </c>
      <c r="P12" s="10"/>
      <c r="Q12" s="10"/>
      <c r="R12" s="10"/>
      <c r="S12" s="10"/>
      <c r="T12" s="10"/>
      <c r="U12" s="6" t="str">
        <f aca="false">IF(OR(S12="",T12=""),"",S12*T12)</f>
        <v/>
      </c>
      <c r="V12" s="6" t="str">
        <f aca="false">IF(U12="","",IF(U12&gt;=Scales!$P$5,"Intolerable",IF(U12&gt;=Scales!$P$6,"High",IF(U12&gt;=Scales!$P$7,"Medium","Low"))))</f>
        <v/>
      </c>
      <c r="W12" s="6" t="str">
        <f aca="false">IF(U12="","",IF(U12&gt;=Scales!$P$5,"Unacceptable",IF(U12&gt;=Scales!$P$6,"Reduce (ALARP)",IF(U12&gt;=Scales!$P$7,"Acceptable w/ review","Acceptable"))))</f>
        <v/>
      </c>
      <c r="X12" s="10"/>
      <c r="Y12" s="10"/>
      <c r="Z12" s="6" t="str">
        <f aca="false">IF(W12="","",IF(OR(W12="Unacceptable",L12="Unacceptable"),"OPEN","Monitor"))</f>
        <v/>
      </c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6" t="str">
        <f aca="false">IF(OR(H13="",I13=""),"",H13*I13)</f>
        <v/>
      </c>
      <c r="K13" s="6" t="str">
        <f aca="false">IF(J13="","",IF(J13&gt;=Scales!$P$5,"Intolerable",IF(J13&gt;=Scales!$P$6,"High",IF(J13&gt;=Scales!$P$7,"Medium","Low"))))</f>
        <v/>
      </c>
      <c r="L13" s="6" t="str">
        <f aca="false">IF(J13="","",IF(J13&gt;=Scales!$P$5,"Unacceptable",IF(J13&gt;=Scales!$P$6,"Reduce (ALARP)",IF(J13&gt;=Scales!$P$7,"Acceptable w/ review","Acceptable"))))</f>
        <v/>
      </c>
      <c r="M13" s="11"/>
      <c r="N13" s="12"/>
      <c r="O13" s="9" t="str">
        <f aca="false">IF(OR(M13="",N13=""),"",M13*N13)</f>
        <v/>
      </c>
      <c r="P13" s="10"/>
      <c r="Q13" s="10"/>
      <c r="R13" s="10"/>
      <c r="S13" s="10"/>
      <c r="T13" s="10"/>
      <c r="U13" s="6" t="str">
        <f aca="false">IF(OR(S13="",T13=""),"",S13*T13)</f>
        <v/>
      </c>
      <c r="V13" s="6" t="str">
        <f aca="false">IF(U13="","",IF(U13&gt;=Scales!$P$5,"Intolerable",IF(U13&gt;=Scales!$P$6,"High",IF(U13&gt;=Scales!$P$7,"Medium","Low"))))</f>
        <v/>
      </c>
      <c r="W13" s="6" t="str">
        <f aca="false">IF(U13="","",IF(U13&gt;=Scales!$P$5,"Unacceptable",IF(U13&gt;=Scales!$P$6,"Reduce (ALARP)",IF(U13&gt;=Scales!$P$7,"Acceptable w/ review","Acceptable"))))</f>
        <v/>
      </c>
      <c r="X13" s="10"/>
      <c r="Y13" s="10"/>
      <c r="Z13" s="6" t="str">
        <f aca="false">IF(W13="","",IF(OR(W13="Unacceptable",L13="Unacceptable"),"OPEN","Monitor"))</f>
        <v/>
      </c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6" t="str">
        <f aca="false">IF(OR(H14="",I14=""),"",H14*I14)</f>
        <v/>
      </c>
      <c r="K14" s="6" t="str">
        <f aca="false">IF(J14="","",IF(J14&gt;=Scales!$P$5,"Intolerable",IF(J14&gt;=Scales!$P$6,"High",IF(J14&gt;=Scales!$P$7,"Medium","Low"))))</f>
        <v/>
      </c>
      <c r="L14" s="6" t="str">
        <f aca="false">IF(J14="","",IF(J14&gt;=Scales!$P$5,"Unacceptable",IF(J14&gt;=Scales!$P$6,"Reduce (ALARP)",IF(J14&gt;=Scales!$P$7,"Acceptable w/ review","Acceptable"))))</f>
        <v/>
      </c>
      <c r="M14" s="11"/>
      <c r="N14" s="12"/>
      <c r="O14" s="9" t="str">
        <f aca="false">IF(OR(M14="",N14=""),"",M14*N14)</f>
        <v/>
      </c>
      <c r="P14" s="10"/>
      <c r="Q14" s="10"/>
      <c r="R14" s="10"/>
      <c r="S14" s="10"/>
      <c r="T14" s="10"/>
      <c r="U14" s="6" t="str">
        <f aca="false">IF(OR(S14="",T14=""),"",S14*T14)</f>
        <v/>
      </c>
      <c r="V14" s="6" t="str">
        <f aca="false">IF(U14="","",IF(U14&gt;=Scales!$P$5,"Intolerable",IF(U14&gt;=Scales!$P$6,"High",IF(U14&gt;=Scales!$P$7,"Medium","Low"))))</f>
        <v/>
      </c>
      <c r="W14" s="6" t="str">
        <f aca="false">IF(U14="","",IF(U14&gt;=Scales!$P$5,"Unacceptable",IF(U14&gt;=Scales!$P$6,"Reduce (ALARP)",IF(U14&gt;=Scales!$P$7,"Acceptable w/ review","Acceptable"))))</f>
        <v/>
      </c>
      <c r="X14" s="10"/>
      <c r="Y14" s="10"/>
      <c r="Z14" s="6" t="str">
        <f aca="false">IF(W14="","",IF(OR(W14="Unacceptable",L14="Unacceptable"),"OPEN","Monitor"))</f>
        <v/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6" t="str">
        <f aca="false">IF(OR(H15="",I15=""),"",H15*I15)</f>
        <v/>
      </c>
      <c r="K15" s="6" t="str">
        <f aca="false">IF(J15="","",IF(J15&gt;=Scales!$P$5,"Intolerable",IF(J15&gt;=Scales!$P$6,"High",IF(J15&gt;=Scales!$P$7,"Medium","Low"))))</f>
        <v/>
      </c>
      <c r="L15" s="6" t="str">
        <f aca="false">IF(J15="","",IF(J15&gt;=Scales!$P$5,"Unacceptable",IF(J15&gt;=Scales!$P$6,"Reduce (ALARP)",IF(J15&gt;=Scales!$P$7,"Acceptable w/ review","Acceptable"))))</f>
        <v/>
      </c>
      <c r="M15" s="11"/>
      <c r="N15" s="12"/>
      <c r="O15" s="9" t="str">
        <f aca="false">IF(OR(M15="",N15=""),"",M15*N15)</f>
        <v/>
      </c>
      <c r="P15" s="10"/>
      <c r="Q15" s="10"/>
      <c r="R15" s="10"/>
      <c r="S15" s="10"/>
      <c r="T15" s="10"/>
      <c r="U15" s="6" t="str">
        <f aca="false">IF(OR(S15="",T15=""),"",S15*T15)</f>
        <v/>
      </c>
      <c r="V15" s="6" t="str">
        <f aca="false">IF(U15="","",IF(U15&gt;=Scales!$P$5,"Intolerable",IF(U15&gt;=Scales!$P$6,"High",IF(U15&gt;=Scales!$P$7,"Medium","Low"))))</f>
        <v/>
      </c>
      <c r="W15" s="6" t="str">
        <f aca="false">IF(U15="","",IF(U15&gt;=Scales!$P$5,"Unacceptable",IF(U15&gt;=Scales!$P$6,"Reduce (ALARP)",IF(U15&gt;=Scales!$P$7,"Acceptable w/ review","Acceptable"))))</f>
        <v/>
      </c>
      <c r="X15" s="10"/>
      <c r="Y15" s="10"/>
      <c r="Z15" s="6" t="str">
        <f aca="false">IF(W15="","",IF(OR(W15="Unacceptable",L15="Unacceptable"),"OPEN","Monitor"))</f>
        <v/>
      </c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6" t="str">
        <f aca="false">IF(OR(H16="",I16=""),"",H16*I16)</f>
        <v/>
      </c>
      <c r="K16" s="6" t="str">
        <f aca="false">IF(J16="","",IF(J16&gt;=Scales!$P$5,"Intolerable",IF(J16&gt;=Scales!$P$6,"High",IF(J16&gt;=Scales!$P$7,"Medium","Low"))))</f>
        <v/>
      </c>
      <c r="L16" s="6" t="str">
        <f aca="false">IF(J16="","",IF(J16&gt;=Scales!$P$5,"Unacceptable",IF(J16&gt;=Scales!$P$6,"Reduce (ALARP)",IF(J16&gt;=Scales!$P$7,"Acceptable w/ review","Acceptable"))))</f>
        <v/>
      </c>
      <c r="M16" s="11"/>
      <c r="N16" s="12"/>
      <c r="O16" s="9" t="str">
        <f aca="false">IF(OR(M16="",N16=""),"",M16*N16)</f>
        <v/>
      </c>
      <c r="P16" s="10"/>
      <c r="Q16" s="10"/>
      <c r="R16" s="10"/>
      <c r="S16" s="10"/>
      <c r="T16" s="10"/>
      <c r="U16" s="6" t="str">
        <f aca="false">IF(OR(S16="",T16=""),"",S16*T16)</f>
        <v/>
      </c>
      <c r="V16" s="6" t="str">
        <f aca="false">IF(U16="","",IF(U16&gt;=Scales!$P$5,"Intolerable",IF(U16&gt;=Scales!$P$6,"High",IF(U16&gt;=Scales!$P$7,"Medium","Low"))))</f>
        <v/>
      </c>
      <c r="W16" s="6" t="str">
        <f aca="false">IF(U16="","",IF(U16&gt;=Scales!$P$5,"Unacceptable",IF(U16&gt;=Scales!$P$6,"Reduce (ALARP)",IF(U16&gt;=Scales!$P$7,"Acceptable w/ review","Acceptable"))))</f>
        <v/>
      </c>
      <c r="X16" s="10"/>
      <c r="Y16" s="10"/>
      <c r="Z16" s="6" t="str">
        <f aca="false">IF(W16="","",IF(OR(W16="Unacceptable",L16="Unacceptable"),"OPEN","Monitor"))</f>
        <v/>
      </c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6" t="str">
        <f aca="false">IF(OR(H17="",I17=""),"",H17*I17)</f>
        <v/>
      </c>
      <c r="K17" s="6" t="str">
        <f aca="false">IF(J17="","",IF(J17&gt;=Scales!$P$5,"Intolerable",IF(J17&gt;=Scales!$P$6,"High",IF(J17&gt;=Scales!$P$7,"Medium","Low"))))</f>
        <v/>
      </c>
      <c r="L17" s="6" t="str">
        <f aca="false">IF(J17="","",IF(J17&gt;=Scales!$P$5,"Unacceptable",IF(J17&gt;=Scales!$P$6,"Reduce (ALARP)",IF(J17&gt;=Scales!$P$7,"Acceptable w/ review","Acceptable"))))</f>
        <v/>
      </c>
      <c r="M17" s="11"/>
      <c r="N17" s="12"/>
      <c r="O17" s="9" t="str">
        <f aca="false">IF(OR(M17="",N17=""),"",M17*N17)</f>
        <v/>
      </c>
      <c r="P17" s="10"/>
      <c r="Q17" s="10"/>
      <c r="R17" s="10"/>
      <c r="S17" s="10"/>
      <c r="T17" s="10"/>
      <c r="U17" s="6" t="str">
        <f aca="false">IF(OR(S17="",T17=""),"",S17*T17)</f>
        <v/>
      </c>
      <c r="V17" s="6" t="str">
        <f aca="false">IF(U17="","",IF(U17&gt;=Scales!$P$5,"Intolerable",IF(U17&gt;=Scales!$P$6,"High",IF(U17&gt;=Scales!$P$7,"Medium","Low"))))</f>
        <v/>
      </c>
      <c r="W17" s="6" t="str">
        <f aca="false">IF(U17="","",IF(U17&gt;=Scales!$P$5,"Unacceptable",IF(U17&gt;=Scales!$P$6,"Reduce (ALARP)",IF(U17&gt;=Scales!$P$7,"Acceptable w/ review","Acceptable"))))</f>
        <v/>
      </c>
      <c r="X17" s="10"/>
      <c r="Y17" s="10"/>
      <c r="Z17" s="6" t="str">
        <f aca="false">IF(W17="","",IF(OR(W17="Unacceptable",L17="Unacceptable"),"OPEN","Monitor"))</f>
        <v/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6" t="str">
        <f aca="false">IF(OR(H18="",I18=""),"",H18*I18)</f>
        <v/>
      </c>
      <c r="K18" s="6" t="str">
        <f aca="false">IF(J18="","",IF(J18&gt;=Scales!$P$5,"Intolerable",IF(J18&gt;=Scales!$P$6,"High",IF(J18&gt;=Scales!$P$7,"Medium","Low"))))</f>
        <v/>
      </c>
      <c r="L18" s="6" t="str">
        <f aca="false">IF(J18="","",IF(J18&gt;=Scales!$P$5,"Unacceptable",IF(J18&gt;=Scales!$P$6,"Reduce (ALARP)",IF(J18&gt;=Scales!$P$7,"Acceptable w/ review","Acceptable"))))</f>
        <v/>
      </c>
      <c r="M18" s="11"/>
      <c r="N18" s="12"/>
      <c r="O18" s="9" t="str">
        <f aca="false">IF(OR(M18="",N18=""),"",M18*N18)</f>
        <v/>
      </c>
      <c r="P18" s="10"/>
      <c r="Q18" s="10"/>
      <c r="R18" s="10"/>
      <c r="S18" s="10"/>
      <c r="T18" s="10"/>
      <c r="U18" s="6" t="str">
        <f aca="false">IF(OR(S18="",T18=""),"",S18*T18)</f>
        <v/>
      </c>
      <c r="V18" s="6" t="str">
        <f aca="false">IF(U18="","",IF(U18&gt;=Scales!$P$5,"Intolerable",IF(U18&gt;=Scales!$P$6,"High",IF(U18&gt;=Scales!$P$7,"Medium","Low"))))</f>
        <v/>
      </c>
      <c r="W18" s="6" t="str">
        <f aca="false">IF(U18="","",IF(U18&gt;=Scales!$P$5,"Unacceptable",IF(U18&gt;=Scales!$P$6,"Reduce (ALARP)",IF(U18&gt;=Scales!$P$7,"Acceptable w/ review","Acceptable"))))</f>
        <v/>
      </c>
      <c r="X18" s="10"/>
      <c r="Y18" s="10"/>
      <c r="Z18" s="6" t="str">
        <f aca="false">IF(W18="","",IF(OR(W18="Unacceptable",L18="Unacceptable"),"OPEN","Monitor"))</f>
        <v/>
      </c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6" t="str">
        <f aca="false">IF(OR(H19="",I19=""),"",H19*I19)</f>
        <v/>
      </c>
      <c r="K19" s="6" t="str">
        <f aca="false">IF(J19="","",IF(J19&gt;=Scales!$P$5,"Intolerable",IF(J19&gt;=Scales!$P$6,"High",IF(J19&gt;=Scales!$P$7,"Medium","Low"))))</f>
        <v/>
      </c>
      <c r="L19" s="6" t="str">
        <f aca="false">IF(J19="","",IF(J19&gt;=Scales!$P$5,"Unacceptable",IF(J19&gt;=Scales!$P$6,"Reduce (ALARP)",IF(J19&gt;=Scales!$P$7,"Acceptable w/ review","Acceptable"))))</f>
        <v/>
      </c>
      <c r="M19" s="11"/>
      <c r="N19" s="12"/>
      <c r="O19" s="9" t="str">
        <f aca="false">IF(OR(M19="",N19=""),"",M19*N19)</f>
        <v/>
      </c>
      <c r="P19" s="10"/>
      <c r="Q19" s="10"/>
      <c r="R19" s="10"/>
      <c r="S19" s="10"/>
      <c r="T19" s="10"/>
      <c r="U19" s="6" t="str">
        <f aca="false">IF(OR(S19="",T19=""),"",S19*T19)</f>
        <v/>
      </c>
      <c r="V19" s="6" t="str">
        <f aca="false">IF(U19="","",IF(U19&gt;=Scales!$P$5,"Intolerable",IF(U19&gt;=Scales!$P$6,"High",IF(U19&gt;=Scales!$P$7,"Medium","Low"))))</f>
        <v/>
      </c>
      <c r="W19" s="6" t="str">
        <f aca="false">IF(U19="","",IF(U19&gt;=Scales!$P$5,"Unacceptable",IF(U19&gt;=Scales!$P$6,"Reduce (ALARP)",IF(U19&gt;=Scales!$P$7,"Acceptable w/ review","Acceptable"))))</f>
        <v/>
      </c>
      <c r="X19" s="10"/>
      <c r="Y19" s="10"/>
      <c r="Z19" s="6" t="str">
        <f aca="false">IF(W19="","",IF(OR(W19="Unacceptable",L19="Unacceptable"),"OPEN","Monitor"))</f>
        <v/>
      </c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6" t="str">
        <f aca="false">IF(OR(H20="",I20=""),"",H20*I20)</f>
        <v/>
      </c>
      <c r="K20" s="6" t="str">
        <f aca="false">IF(J20="","",IF(J20&gt;=Scales!$P$5,"Intolerable",IF(J20&gt;=Scales!$P$6,"High",IF(J20&gt;=Scales!$P$7,"Medium","Low"))))</f>
        <v/>
      </c>
      <c r="L20" s="6" t="str">
        <f aca="false">IF(J20="","",IF(J20&gt;=Scales!$P$5,"Unacceptable",IF(J20&gt;=Scales!$P$6,"Reduce (ALARP)",IF(J20&gt;=Scales!$P$7,"Acceptable w/ review","Acceptable"))))</f>
        <v/>
      </c>
      <c r="M20" s="11"/>
      <c r="N20" s="12"/>
      <c r="O20" s="9" t="str">
        <f aca="false">IF(OR(M20="",N20=""),"",M20*N20)</f>
        <v/>
      </c>
      <c r="P20" s="10"/>
      <c r="Q20" s="10"/>
      <c r="R20" s="10"/>
      <c r="S20" s="10"/>
      <c r="T20" s="10"/>
      <c r="U20" s="6" t="str">
        <f aca="false">IF(OR(S20="",T20=""),"",S20*T20)</f>
        <v/>
      </c>
      <c r="V20" s="6" t="str">
        <f aca="false">IF(U20="","",IF(U20&gt;=Scales!$P$5,"Intolerable",IF(U20&gt;=Scales!$P$6,"High",IF(U20&gt;=Scales!$P$7,"Medium","Low"))))</f>
        <v/>
      </c>
      <c r="W20" s="6" t="str">
        <f aca="false">IF(U20="","",IF(U20&gt;=Scales!$P$5,"Unacceptable",IF(U20&gt;=Scales!$P$6,"Reduce (ALARP)",IF(U20&gt;=Scales!$P$7,"Acceptable w/ review","Acceptable"))))</f>
        <v/>
      </c>
      <c r="X20" s="10"/>
      <c r="Y20" s="10"/>
      <c r="Z20" s="6" t="str">
        <f aca="false">IF(W20="","",IF(OR(W20="Unacceptable",L20="Unacceptable"),"OPEN","Monitor"))</f>
        <v/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6" t="str">
        <f aca="false">IF(OR(H21="",I21=""),"",H21*I21)</f>
        <v/>
      </c>
      <c r="K21" s="6" t="str">
        <f aca="false">IF(J21="","",IF(J21&gt;=Scales!$P$5,"Intolerable",IF(J21&gt;=Scales!$P$6,"High",IF(J21&gt;=Scales!$P$7,"Medium","Low"))))</f>
        <v/>
      </c>
      <c r="L21" s="6" t="str">
        <f aca="false">IF(J21="","",IF(J21&gt;=Scales!$P$5,"Unacceptable",IF(J21&gt;=Scales!$P$6,"Reduce (ALARP)",IF(J21&gt;=Scales!$P$7,"Acceptable w/ review","Acceptable"))))</f>
        <v/>
      </c>
      <c r="M21" s="11"/>
      <c r="N21" s="12"/>
      <c r="O21" s="9" t="str">
        <f aca="false">IF(OR(M21="",N21=""),"",M21*N21)</f>
        <v/>
      </c>
      <c r="P21" s="10"/>
      <c r="Q21" s="10"/>
      <c r="R21" s="10"/>
      <c r="S21" s="10"/>
      <c r="T21" s="10"/>
      <c r="U21" s="6" t="str">
        <f aca="false">IF(OR(S21="",T21=""),"",S21*T21)</f>
        <v/>
      </c>
      <c r="V21" s="6" t="str">
        <f aca="false">IF(U21="","",IF(U21&gt;=Scales!$P$5,"Intolerable",IF(U21&gt;=Scales!$P$6,"High",IF(U21&gt;=Scales!$P$7,"Medium","Low"))))</f>
        <v/>
      </c>
      <c r="W21" s="6" t="str">
        <f aca="false">IF(U21="","",IF(U21&gt;=Scales!$P$5,"Unacceptable",IF(U21&gt;=Scales!$P$6,"Reduce (ALARP)",IF(U21&gt;=Scales!$P$7,"Acceptable w/ review","Acceptable"))))</f>
        <v/>
      </c>
      <c r="X21" s="10"/>
      <c r="Y21" s="10"/>
      <c r="Z21" s="6" t="str">
        <f aca="false">IF(W21="","",IF(OR(W21="Unacceptable",L21="Unacceptable"),"OPEN","Monitor"))</f>
        <v/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6" t="str">
        <f aca="false">IF(OR(H22="",I22=""),"",H22*I22)</f>
        <v/>
      </c>
      <c r="K22" s="6" t="str">
        <f aca="false">IF(J22="","",IF(J22&gt;=Scales!$P$5,"Intolerable",IF(J22&gt;=Scales!$P$6,"High",IF(J22&gt;=Scales!$P$7,"Medium","Low"))))</f>
        <v/>
      </c>
      <c r="L22" s="6" t="str">
        <f aca="false">IF(J22="","",IF(J22&gt;=Scales!$P$5,"Unacceptable",IF(J22&gt;=Scales!$P$6,"Reduce (ALARP)",IF(J22&gt;=Scales!$P$7,"Acceptable w/ review","Acceptable"))))</f>
        <v/>
      </c>
      <c r="M22" s="11"/>
      <c r="N22" s="12"/>
      <c r="O22" s="9" t="str">
        <f aca="false">IF(OR(M22="",N22=""),"",M22*N22)</f>
        <v/>
      </c>
      <c r="P22" s="10"/>
      <c r="Q22" s="10"/>
      <c r="R22" s="10"/>
      <c r="S22" s="10"/>
      <c r="T22" s="10"/>
      <c r="U22" s="6" t="str">
        <f aca="false">IF(OR(S22="",T22=""),"",S22*T22)</f>
        <v/>
      </c>
      <c r="V22" s="6" t="str">
        <f aca="false">IF(U22="","",IF(U22&gt;=Scales!$P$5,"Intolerable",IF(U22&gt;=Scales!$P$6,"High",IF(U22&gt;=Scales!$P$7,"Medium","Low"))))</f>
        <v/>
      </c>
      <c r="W22" s="6" t="str">
        <f aca="false">IF(U22="","",IF(U22&gt;=Scales!$P$5,"Unacceptable",IF(U22&gt;=Scales!$P$6,"Reduce (ALARP)",IF(U22&gt;=Scales!$P$7,"Acceptable w/ review","Acceptable"))))</f>
        <v/>
      </c>
      <c r="X22" s="10"/>
      <c r="Y22" s="10"/>
      <c r="Z22" s="6" t="str">
        <f aca="false">IF(W22="","",IF(OR(W22="Unacceptable",L22="Unacceptable"),"OPEN","Monitor"))</f>
        <v/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6" t="str">
        <f aca="false">IF(OR(H23="",I23=""),"",H23*I23)</f>
        <v/>
      </c>
      <c r="K23" s="6" t="str">
        <f aca="false">IF(J23="","",IF(J23&gt;=Scales!$P$5,"Intolerable",IF(J23&gt;=Scales!$P$6,"High",IF(J23&gt;=Scales!$P$7,"Medium","Low"))))</f>
        <v/>
      </c>
      <c r="L23" s="6" t="str">
        <f aca="false">IF(J23="","",IF(J23&gt;=Scales!$P$5,"Unacceptable",IF(J23&gt;=Scales!$P$6,"Reduce (ALARP)",IF(J23&gt;=Scales!$P$7,"Acceptable w/ review","Acceptable"))))</f>
        <v/>
      </c>
      <c r="M23" s="11"/>
      <c r="N23" s="12"/>
      <c r="O23" s="9" t="str">
        <f aca="false">IF(OR(M23="",N23=""),"",M23*N23)</f>
        <v/>
      </c>
      <c r="P23" s="10"/>
      <c r="Q23" s="10"/>
      <c r="R23" s="10"/>
      <c r="S23" s="10"/>
      <c r="T23" s="10"/>
      <c r="U23" s="6" t="str">
        <f aca="false">IF(OR(S23="",T23=""),"",S23*T23)</f>
        <v/>
      </c>
      <c r="V23" s="6" t="str">
        <f aca="false">IF(U23="","",IF(U23&gt;=Scales!$P$5,"Intolerable",IF(U23&gt;=Scales!$P$6,"High",IF(U23&gt;=Scales!$P$7,"Medium","Low"))))</f>
        <v/>
      </c>
      <c r="W23" s="6" t="str">
        <f aca="false">IF(U23="","",IF(U23&gt;=Scales!$P$5,"Unacceptable",IF(U23&gt;=Scales!$P$6,"Reduce (ALARP)",IF(U23&gt;=Scales!$P$7,"Acceptable w/ review","Acceptable"))))</f>
        <v/>
      </c>
      <c r="X23" s="10"/>
      <c r="Y23" s="10"/>
      <c r="Z23" s="6" t="str">
        <f aca="false">IF(W23="","",IF(OR(W23="Unacceptable",L23="Unacceptable"),"OPEN","Monitor"))</f>
        <v/>
      </c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6" t="str">
        <f aca="false">IF(OR(H24="",I24=""),"",H24*I24)</f>
        <v/>
      </c>
      <c r="K24" s="6" t="str">
        <f aca="false">IF(J24="","",IF(J24&gt;=Scales!$P$5,"Intolerable",IF(J24&gt;=Scales!$P$6,"High",IF(J24&gt;=Scales!$P$7,"Medium","Low"))))</f>
        <v/>
      </c>
      <c r="L24" s="6" t="str">
        <f aca="false">IF(J24="","",IF(J24&gt;=Scales!$P$5,"Unacceptable",IF(J24&gt;=Scales!$P$6,"Reduce (ALARP)",IF(J24&gt;=Scales!$P$7,"Acceptable w/ review","Acceptable"))))</f>
        <v/>
      </c>
      <c r="M24" s="11"/>
      <c r="N24" s="12"/>
      <c r="O24" s="9" t="str">
        <f aca="false">IF(OR(M24="",N24=""),"",M24*N24)</f>
        <v/>
      </c>
      <c r="P24" s="10"/>
      <c r="Q24" s="10"/>
      <c r="R24" s="10"/>
      <c r="S24" s="10"/>
      <c r="T24" s="10"/>
      <c r="U24" s="6" t="str">
        <f aca="false">IF(OR(S24="",T24=""),"",S24*T24)</f>
        <v/>
      </c>
      <c r="V24" s="6" t="str">
        <f aca="false">IF(U24="","",IF(U24&gt;=Scales!$P$5,"Intolerable",IF(U24&gt;=Scales!$P$6,"High",IF(U24&gt;=Scales!$P$7,"Medium","Low"))))</f>
        <v/>
      </c>
      <c r="W24" s="6" t="str">
        <f aca="false">IF(U24="","",IF(U24&gt;=Scales!$P$5,"Unacceptable",IF(U24&gt;=Scales!$P$6,"Reduce (ALARP)",IF(U24&gt;=Scales!$P$7,"Acceptable w/ review","Acceptable"))))</f>
        <v/>
      </c>
      <c r="X24" s="10"/>
      <c r="Y24" s="10"/>
      <c r="Z24" s="6" t="str">
        <f aca="false">IF(W24="","",IF(OR(W24="Unacceptable",L24="Unacceptable"),"OPEN","Monitor"))</f>
        <v/>
      </c>
    </row>
  </sheetData>
  <conditionalFormatting sqref="K3:K24">
    <cfRule type="cellIs" priority="2" operator="equal" aboveAverage="0" equalAverage="0" bottom="0" percent="0" rank="0" text="" dxfId="0">
      <formula>"Intolerable"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V3:V24">
    <cfRule type="cellIs" priority="6" operator="equal" aboveAverage="0" equalAverage="0" bottom="0" percent="0" rank="0" text="" dxfId="0">
      <formula>"Intolerable"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3">
    <dataValidation allowBlank="true" errorStyle="stop" operator="between" showDropDown="false" showErrorMessage="false" showInputMessage="false" sqref="B3:B24" type="list">
      <formula1>"Credit,Market,Liquidity,Operational,Compliance,Strategic"</formula1>
      <formula2>0</formula2>
    </dataValidation>
    <dataValidation allowBlank="true" errorStyle="stop" operator="between" showDropDown="false" showErrorMessage="false" showInputMessage="false" sqref="P3:P24" type="list">
      <formula1>"Avoid,Reduce,Transfer / Insure,Accept"</formula1>
      <formula2>0</formula2>
    </dataValidation>
    <dataValidation allowBlank="true" errorStyle="stop" operator="between" showDropDown="false" showErrorMessage="false" showInputMessage="false" sqref="Y3:Y24" type="list">
      <formula1>"Within appetite,Breach"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15" min="15" style="0" width="16"/>
    <col collapsed="false" customWidth="true" hidden="false" outlineLevel="0" max="16" min="16" style="0" width="6"/>
  </cols>
  <sheetData>
    <row r="2" customFormat="false" ht="17.35" hidden="false" customHeight="false" outlineLevel="0" collapsed="false">
      <c r="B2" s="13" t="s">
        <v>66</v>
      </c>
    </row>
    <row r="4" customFormat="false" ht="15" hidden="false" customHeight="true" outlineLevel="0" collapsed="false">
      <c r="B4" s="2" t="s">
        <v>67</v>
      </c>
      <c r="C4" s="2"/>
      <c r="D4" s="2"/>
      <c r="F4" s="14" t="s">
        <v>68</v>
      </c>
      <c r="G4" s="14"/>
      <c r="H4" s="14"/>
      <c r="O4" s="15" t="s">
        <v>69</v>
      </c>
    </row>
    <row r="5" customFormat="false" ht="15" hidden="false" customHeight="false" outlineLevel="0" collapsed="false">
      <c r="B5" s="14"/>
      <c r="C5" s="14"/>
      <c r="D5" s="14"/>
      <c r="F5" s="14"/>
      <c r="G5" s="14"/>
      <c r="H5" s="14"/>
      <c r="O5" s="16" t="s">
        <v>70</v>
      </c>
      <c r="P5" s="17" t="n">
        <v>16</v>
      </c>
    </row>
    <row r="6" customFormat="false" ht="23.85" hidden="false" customHeight="false" outlineLevel="0" collapsed="false">
      <c r="B6" s="18" t="n">
        <v>1</v>
      </c>
      <c r="C6" s="3" t="s">
        <v>71</v>
      </c>
      <c r="D6" s="3" t="s">
        <v>72</v>
      </c>
      <c r="F6" s="19" t="n">
        <v>16</v>
      </c>
      <c r="G6" s="20" t="s">
        <v>73</v>
      </c>
      <c r="H6" s="21" t="s">
        <v>74</v>
      </c>
      <c r="O6" s="16" t="s">
        <v>75</v>
      </c>
      <c r="P6" s="17" t="n">
        <v>10</v>
      </c>
    </row>
    <row r="7" customFormat="false" ht="23.85" hidden="false" customHeight="false" outlineLevel="0" collapsed="false">
      <c r="B7" s="18" t="n">
        <v>2</v>
      </c>
      <c r="C7" s="3" t="s">
        <v>76</v>
      </c>
      <c r="D7" s="3" t="s">
        <v>77</v>
      </c>
      <c r="F7" s="22" t="n">
        <v>10</v>
      </c>
      <c r="G7" s="23" t="s">
        <v>78</v>
      </c>
      <c r="H7" s="24" t="s">
        <v>79</v>
      </c>
      <c r="O7" s="16" t="s">
        <v>80</v>
      </c>
      <c r="P7" s="17" t="n">
        <v>5</v>
      </c>
    </row>
    <row r="8" customFormat="false" ht="15" hidden="false" customHeight="false" outlineLevel="0" collapsed="false">
      <c r="B8" s="18" t="n">
        <v>3</v>
      </c>
      <c r="C8" s="3" t="s">
        <v>81</v>
      </c>
      <c r="D8" s="3" t="s">
        <v>82</v>
      </c>
      <c r="F8" s="25" t="n">
        <v>5</v>
      </c>
      <c r="G8" s="26" t="s">
        <v>83</v>
      </c>
      <c r="H8" s="27" t="s">
        <v>84</v>
      </c>
    </row>
    <row r="9" customFormat="false" ht="15" hidden="false" customHeight="false" outlineLevel="0" collapsed="false">
      <c r="B9" s="18" t="n">
        <v>4</v>
      </c>
      <c r="C9" s="3" t="s">
        <v>85</v>
      </c>
      <c r="D9" s="3" t="s">
        <v>86</v>
      </c>
      <c r="F9" s="28" t="n">
        <v>1</v>
      </c>
      <c r="G9" s="29" t="s">
        <v>87</v>
      </c>
      <c r="H9" s="30" t="s">
        <v>88</v>
      </c>
    </row>
    <row r="10" customFormat="false" ht="15" hidden="false" customHeight="false" outlineLevel="0" collapsed="false">
      <c r="B10" s="18" t="n">
        <v>5</v>
      </c>
      <c r="C10" s="3" t="s">
        <v>89</v>
      </c>
      <c r="D10" s="3" t="s">
        <v>90</v>
      </c>
    </row>
    <row r="12" customFormat="false" ht="15" hidden="false" customHeight="true" outlineLevel="0" collapsed="false">
      <c r="B12" s="2" t="s">
        <v>91</v>
      </c>
      <c r="C12" s="2"/>
      <c r="D12" s="2"/>
      <c r="F12" s="31" t="s">
        <v>92</v>
      </c>
    </row>
    <row r="13" customFormat="false" ht="23.85" hidden="false" customHeight="false" outlineLevel="0" collapsed="false">
      <c r="B13" s="14"/>
      <c r="C13" s="14"/>
      <c r="D13" s="14"/>
      <c r="F13" s="14" t="s">
        <v>93</v>
      </c>
      <c r="G13" s="14" t="n">
        <v>1</v>
      </c>
      <c r="H13" s="14" t="n">
        <v>2</v>
      </c>
      <c r="I13" s="14" t="n">
        <v>3</v>
      </c>
      <c r="J13" s="14" t="n">
        <v>4</v>
      </c>
      <c r="K13" s="14" t="n">
        <v>5</v>
      </c>
    </row>
    <row r="14" customFormat="false" ht="15" hidden="false" customHeight="false" outlineLevel="0" collapsed="false">
      <c r="B14" s="18" t="n">
        <v>1</v>
      </c>
      <c r="C14" s="3" t="s">
        <v>94</v>
      </c>
      <c r="D14" s="3" t="s">
        <v>95</v>
      </c>
      <c r="F14" s="14" t="n">
        <v>5</v>
      </c>
      <c r="G14" s="32" t="n">
        <v>5</v>
      </c>
      <c r="H14" s="33" t="n">
        <v>10</v>
      </c>
      <c r="I14" s="33" t="n">
        <v>15</v>
      </c>
      <c r="J14" s="34" t="n">
        <v>20</v>
      </c>
      <c r="K14" s="34" t="n">
        <v>25</v>
      </c>
    </row>
    <row r="15" customFormat="false" ht="15" hidden="false" customHeight="false" outlineLevel="0" collapsed="false">
      <c r="B15" s="18" t="n">
        <v>2</v>
      </c>
      <c r="C15" s="3" t="s">
        <v>96</v>
      </c>
      <c r="D15" s="3" t="s">
        <v>97</v>
      </c>
      <c r="F15" s="14" t="n">
        <v>4</v>
      </c>
      <c r="G15" s="35" t="n">
        <v>4</v>
      </c>
      <c r="H15" s="32" t="n">
        <v>8</v>
      </c>
      <c r="I15" s="33" t="n">
        <v>12</v>
      </c>
      <c r="J15" s="34" t="n">
        <v>16</v>
      </c>
      <c r="K15" s="34" t="n">
        <v>20</v>
      </c>
    </row>
    <row r="16" customFormat="false" ht="15" hidden="false" customHeight="false" outlineLevel="0" collapsed="false">
      <c r="B16" s="18" t="n">
        <v>3</v>
      </c>
      <c r="C16" s="3" t="s">
        <v>98</v>
      </c>
      <c r="D16" s="3" t="s">
        <v>99</v>
      </c>
      <c r="F16" s="14" t="n">
        <v>3</v>
      </c>
      <c r="G16" s="35" t="n">
        <v>3</v>
      </c>
      <c r="H16" s="32" t="n">
        <v>6</v>
      </c>
      <c r="I16" s="32" t="n">
        <v>9</v>
      </c>
      <c r="J16" s="33" t="n">
        <v>12</v>
      </c>
      <c r="K16" s="33" t="n">
        <v>15</v>
      </c>
    </row>
    <row r="17" customFormat="false" ht="15" hidden="false" customHeight="false" outlineLevel="0" collapsed="false">
      <c r="B17" s="18" t="n">
        <v>4</v>
      </c>
      <c r="C17" s="3" t="s">
        <v>100</v>
      </c>
      <c r="D17" s="3" t="s">
        <v>101</v>
      </c>
      <c r="F17" s="14" t="n">
        <v>2</v>
      </c>
      <c r="G17" s="35" t="n">
        <v>2</v>
      </c>
      <c r="H17" s="35" t="n">
        <v>4</v>
      </c>
      <c r="I17" s="32" t="n">
        <v>6</v>
      </c>
      <c r="J17" s="32" t="n">
        <v>8</v>
      </c>
      <c r="K17" s="33" t="n">
        <v>10</v>
      </c>
    </row>
    <row r="18" customFormat="false" ht="15" hidden="false" customHeight="false" outlineLevel="0" collapsed="false">
      <c r="B18" s="18" t="n">
        <v>5</v>
      </c>
      <c r="C18" s="3" t="s">
        <v>102</v>
      </c>
      <c r="D18" s="3" t="s">
        <v>103</v>
      </c>
      <c r="F18" s="14" t="n">
        <v>1</v>
      </c>
      <c r="G18" s="35" t="n">
        <v>1</v>
      </c>
      <c r="H18" s="35" t="n">
        <v>2</v>
      </c>
      <c r="I18" s="35" t="n">
        <v>3</v>
      </c>
      <c r="J18" s="35" t="n">
        <v>4</v>
      </c>
      <c r="K18" s="32" t="n">
        <v>5</v>
      </c>
    </row>
    <row r="20" customFormat="false" ht="15" hidden="false" customHeight="false" outlineLevel="0" collapsed="false">
      <c r="B20" s="36" t="s">
        <v>104</v>
      </c>
      <c r="C20" s="36"/>
      <c r="D20" s="36"/>
    </row>
  </sheetData>
  <mergeCells count="4">
    <mergeCell ref="B4:D4"/>
    <mergeCell ref="F4:H4"/>
    <mergeCell ref="B12:D12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26"/>
  </cols>
  <sheetData>
    <row r="2" customFormat="false" ht="16.15" hidden="false" customHeight="false" outlineLevel="0" collapsed="false">
      <c r="B2" s="1" t="s">
        <v>105</v>
      </c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</row>
    <row r="5" customFormat="false" ht="30" hidden="false" customHeight="true" outlineLevel="0" collapsed="false">
      <c r="B5" s="3" t="s">
        <v>28</v>
      </c>
      <c r="C5" s="3" t="s">
        <v>29</v>
      </c>
      <c r="D5" s="3" t="s">
        <v>111</v>
      </c>
      <c r="E5" s="3" t="s">
        <v>112</v>
      </c>
      <c r="F5" s="3" t="s">
        <v>113</v>
      </c>
    </row>
    <row r="6" customFormat="false" ht="30" hidden="false" customHeight="true" outlineLevel="0" collapsed="false">
      <c r="B6" s="37" t="s">
        <v>28</v>
      </c>
      <c r="C6" s="37" t="s">
        <v>114</v>
      </c>
      <c r="D6" s="37" t="s">
        <v>115</v>
      </c>
      <c r="E6" s="37" t="s">
        <v>116</v>
      </c>
      <c r="F6" s="37" t="s">
        <v>117</v>
      </c>
    </row>
    <row r="7" customFormat="false" ht="30" hidden="false" customHeight="true" outlineLevel="0" collapsed="false">
      <c r="B7" s="3" t="s">
        <v>39</v>
      </c>
      <c r="C7" s="3" t="s">
        <v>40</v>
      </c>
      <c r="D7" s="3" t="s">
        <v>118</v>
      </c>
      <c r="E7" s="3" t="s">
        <v>119</v>
      </c>
      <c r="F7" s="3" t="s">
        <v>120</v>
      </c>
    </row>
    <row r="8" customFormat="false" ht="30" hidden="false" customHeight="true" outlineLevel="0" collapsed="false">
      <c r="B8" s="37" t="s">
        <v>39</v>
      </c>
      <c r="C8" s="37" t="s">
        <v>121</v>
      </c>
      <c r="D8" s="37" t="s">
        <v>122</v>
      </c>
      <c r="E8" s="37" t="s">
        <v>123</v>
      </c>
      <c r="F8" s="37" t="s">
        <v>124</v>
      </c>
    </row>
    <row r="9" customFormat="false" ht="30" hidden="false" customHeight="true" outlineLevel="0" collapsed="false">
      <c r="B9" s="3" t="s">
        <v>39</v>
      </c>
      <c r="C9" s="3" t="s">
        <v>125</v>
      </c>
      <c r="D9" s="3" t="s">
        <v>126</v>
      </c>
      <c r="E9" s="3" t="s">
        <v>127</v>
      </c>
      <c r="F9" s="3" t="s">
        <v>128</v>
      </c>
    </row>
    <row r="10" customFormat="false" ht="30" hidden="false" customHeight="true" outlineLevel="0" collapsed="false">
      <c r="B10" s="37" t="s">
        <v>48</v>
      </c>
      <c r="C10" s="37" t="s">
        <v>49</v>
      </c>
      <c r="D10" s="37" t="s">
        <v>129</v>
      </c>
      <c r="E10" s="37" t="s">
        <v>130</v>
      </c>
      <c r="F10" s="37" t="s">
        <v>131</v>
      </c>
    </row>
    <row r="11" customFormat="false" ht="30" hidden="false" customHeight="true" outlineLevel="0" collapsed="false">
      <c r="B11" s="3" t="s">
        <v>48</v>
      </c>
      <c r="C11" s="3" t="s">
        <v>132</v>
      </c>
      <c r="D11" s="3" t="s">
        <v>133</v>
      </c>
      <c r="E11" s="3" t="s">
        <v>134</v>
      </c>
      <c r="F11" s="3" t="s">
        <v>135</v>
      </c>
    </row>
    <row r="12" customFormat="false" ht="30" hidden="false" customHeight="true" outlineLevel="0" collapsed="false">
      <c r="B12" s="37" t="s">
        <v>136</v>
      </c>
      <c r="C12" s="37" t="s">
        <v>137</v>
      </c>
      <c r="D12" s="37" t="s">
        <v>138</v>
      </c>
      <c r="E12" s="37" t="s">
        <v>139</v>
      </c>
      <c r="F12" s="37" t="s">
        <v>140</v>
      </c>
    </row>
    <row r="13" customFormat="false" ht="30" hidden="false" customHeight="true" outlineLevel="0" collapsed="false">
      <c r="B13" s="3" t="s">
        <v>136</v>
      </c>
      <c r="C13" s="3" t="s">
        <v>141</v>
      </c>
      <c r="D13" s="3" t="s">
        <v>142</v>
      </c>
      <c r="E13" s="3" t="s">
        <v>143</v>
      </c>
      <c r="F13" s="3" t="s">
        <v>144</v>
      </c>
    </row>
    <row r="14" customFormat="false" ht="30" hidden="false" customHeight="true" outlineLevel="0" collapsed="false">
      <c r="B14" s="37" t="s">
        <v>136</v>
      </c>
      <c r="C14" s="37" t="s">
        <v>145</v>
      </c>
      <c r="D14" s="37" t="s">
        <v>146</v>
      </c>
      <c r="E14" s="37" t="s">
        <v>147</v>
      </c>
      <c r="F14" s="37" t="s">
        <v>148</v>
      </c>
    </row>
    <row r="15" customFormat="false" ht="30" hidden="false" customHeight="true" outlineLevel="0" collapsed="false">
      <c r="B15" s="3" t="s">
        <v>58</v>
      </c>
      <c r="C15" s="3" t="s">
        <v>59</v>
      </c>
      <c r="D15" s="3" t="s">
        <v>149</v>
      </c>
      <c r="E15" s="3" t="s">
        <v>150</v>
      </c>
      <c r="F15" s="3" t="s">
        <v>151</v>
      </c>
    </row>
    <row r="16" customFormat="false" ht="30" hidden="false" customHeight="true" outlineLevel="0" collapsed="false">
      <c r="B16" s="37" t="s">
        <v>58</v>
      </c>
      <c r="C16" s="37" t="s">
        <v>152</v>
      </c>
      <c r="D16" s="37" t="s">
        <v>153</v>
      </c>
      <c r="E16" s="37" t="s">
        <v>154</v>
      </c>
      <c r="F16" s="37" t="s">
        <v>155</v>
      </c>
    </row>
    <row r="17" customFormat="false" ht="30" hidden="false" customHeight="true" outlineLevel="0" collapsed="false">
      <c r="B17" s="3" t="s">
        <v>156</v>
      </c>
      <c r="C17" s="3" t="s">
        <v>157</v>
      </c>
      <c r="D17" s="3" t="s">
        <v>158</v>
      </c>
      <c r="E17" s="3" t="s">
        <v>159</v>
      </c>
      <c r="F17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2026-06-28T00:34:48Z</dcterms:created>
  <dc:creator>openpyxl</dc:creator>
  <dc:description/>
  <dc:language>en-US</dc:language>
  <cp:lastModifiedBy/>
  <dcterms:modified xsi:type="dcterms:W3CDTF">2026-06-28T00:34:48Z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