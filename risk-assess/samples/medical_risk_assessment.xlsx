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Assessment" sheetId="1" state="visible" r:id="rId3"/>
    <sheet name="Scales" sheetId="2" state="visible" r:id="rId4"/>
    <sheet name="Hazard Mappi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<sst xmlns="http://schemas.openxmlformats.org/spreadsheetml/2006/main" count="184" uniqueCount="167">
  <si>
    <t xml:space="preserve">Medical Device Risk Assessment (ISO 14971:2019)</t>
  </si>
  <si>
    <t xml:space="preserve">Risk ID</t>
  </si>
  <si>
    <t xml:space="preserve">Feature / Item / Function</t>
  </si>
  <si>
    <t xml:space="preserve">Hazard category</t>
  </si>
  <si>
    <t xml:space="preserve">Hazard</t>
  </si>
  <si>
    <t xml:space="preserve">Foreseeable sequence of events (cause)</t>
  </si>
  <si>
    <t xml:space="preserve">Hazardous situation</t>
  </si>
  <si>
    <t xml:space="preserve">Harm</t>
  </si>
  <si>
    <t xml:space="preserve">Affected party</t>
  </si>
  <si>
    <t xml:space="preserve">S</t>
  </si>
  <si>
    <t xml:space="preserve">P1</t>
  </si>
  <si>
    <t xml:space="preserve">P2</t>
  </si>
  <si>
    <t xml:space="preserve">P</t>
  </si>
  <si>
    <t xml:space="preserve">Risk Index</t>
  </si>
  <si>
    <t xml:space="preserve">Risk Level</t>
  </si>
  <si>
    <t xml:space="preserve">Acceptability</t>
  </si>
  <si>
    <t xml:space="preserve">Risk control measure(s)</t>
  </si>
  <si>
    <t xml:space="preserve">Control type</t>
  </si>
  <si>
    <t xml:space="preserve">Control verification (effectiveness)</t>
  </si>
  <si>
    <t xml:space="preserve">V&amp;V / Traceability ref.</t>
  </si>
  <si>
    <t xml:space="preserve">S'</t>
  </si>
  <si>
    <t xml:space="preserve">P1'</t>
  </si>
  <si>
    <t xml:space="preserve">P2'</t>
  </si>
  <si>
    <t xml:space="preserve">P'</t>
  </si>
  <si>
    <t xml:space="preserve">Residual Index</t>
  </si>
  <si>
    <t xml:space="preserve">Residual Level</t>
  </si>
  <si>
    <t xml:space="preserve">Residual Acceptability</t>
  </si>
  <si>
    <t xml:space="preserve">New risk introduced?</t>
  </si>
  <si>
    <t xml:space="preserve">Benefit-risk justification</t>
  </si>
  <si>
    <t xml:space="preserve">Residual risk disclosed</t>
  </si>
  <si>
    <t xml:space="preserve">Status</t>
  </si>
  <si>
    <t xml:space="preserve">RA-001</t>
  </si>
  <si>
    <t xml:space="preserve">Infusion pump dosing engine</t>
  </si>
  <si>
    <t xml:space="preserve">Software fault</t>
  </si>
  <si>
    <t xml:space="preserve">Dose miscalculation after unit change</t>
  </si>
  <si>
    <t xml:space="preserve">SW miscomputes rate after unit-of-measure change</t>
  </si>
  <si>
    <t xml:space="preserve">Infusion faster than prescribed</t>
  </si>
  <si>
    <t xml:space="preserve">Overdose - serious injury</t>
  </si>
  <si>
    <t xml:space="preserve">Patient</t>
  </si>
  <si>
    <t xml:space="preserve">Dose-rate hard limit + independent watchdog</t>
  </si>
  <si>
    <t xml:space="preserve">Protective measure</t>
  </si>
  <si>
    <t xml:space="preserve">Fault-injection bench test; watchdog halts within 1 s</t>
  </si>
  <si>
    <t xml:space="preserve">SW-VER-218; SRS-4.2</t>
  </si>
  <si>
    <t xml:space="preserve">N/A - residual acceptable</t>
  </si>
  <si>
    <t xml:space="preserve">No</t>
  </si>
  <si>
    <t xml:space="preserve">Yes - IFU Warnings</t>
  </si>
  <si>
    <t xml:space="preserve">RA-002</t>
  </si>
  <si>
    <t xml:space="preserve">Connected device remote interface</t>
  </si>
  <si>
    <t xml:space="preserve">Cybersecurity</t>
  </si>
  <si>
    <t xml:space="preserve">Unauthorized access (STRIDE: Tampering)</t>
  </si>
  <si>
    <t xml:space="preserve">Weak auth lets attacker alter therapy params</t>
  </si>
  <si>
    <t xml:space="preserve">Malicious change to therapy settings</t>
  </si>
  <si>
    <t xml:space="preserve">Inappropriate therapy - critical injury</t>
  </si>
  <si>
    <t xml:space="preserve">Mutual TLS + signed updates + input validation</t>
  </si>
  <si>
    <t xml:space="preserve">Inherently safe design</t>
  </si>
  <si>
    <t xml:space="preserve">Pen-test confirms auth-bypass closed</t>
  </si>
  <si>
    <t xml:space="preserve">THREAT-MODEL-7; SBOM-3.1</t>
  </si>
  <si>
    <t xml:space="preserve">Yes - Security manual</t>
  </si>
  <si>
    <t xml:space="preserve">RA-003</t>
  </si>
  <si>
    <t xml:space="preserve">Reusable surgical tool</t>
  </si>
  <si>
    <t xml:space="preserve">Biological (infection)</t>
  </si>
  <si>
    <t xml:space="preserve">Inadequate reprocessing</t>
  </si>
  <si>
    <t xml:space="preserve">IFU reprocessing steps unclear to user</t>
  </si>
  <si>
    <t xml:space="preserve">Residual bioburden on device</t>
  </si>
  <si>
    <t xml:space="preserve">Infection - serious injury</t>
  </si>
  <si>
    <t xml:space="preserve">Validated reprocessing IFU + user training</t>
  </si>
  <si>
    <t xml:space="preserve">Information for safety</t>
  </si>
  <si>
    <t xml:space="preserve">Reprocessing validation per ISO 17664</t>
  </si>
  <si>
    <t xml:space="preserve">REP-VAL-09</t>
  </si>
  <si>
    <t xml:space="preserve">Yes - IFU</t>
  </si>
  <si>
    <t xml:space="preserve">RA-004</t>
  </si>
  <si>
    <t xml:space="preserve">Patient monitor alarm subsystem</t>
  </si>
  <si>
    <t xml:space="preserve">Functional / loss of performance</t>
  </si>
  <si>
    <t xml:space="preserve">Missed critical alarm</t>
  </si>
  <si>
    <t xml:space="preserve">Alarm thread starves under high CPU load</t>
  </si>
  <si>
    <t xml:space="preserve">Clinician not alerted to deterioration</t>
  </si>
  <si>
    <t xml:space="preserve">Delayed treatment - serious injury</t>
  </si>
  <si>
    <t xml:space="preserve">Watchdog reset + independent audible backup alarm</t>
  </si>
  <si>
    <t xml:space="preserve">Load test verifies alarm under max load</t>
  </si>
  <si>
    <t xml:space="preserve">SW-VER-104</t>
  </si>
  <si>
    <t xml:space="preserve">Scoring Scales &amp; Risk Acceptability</t>
  </si>
  <si>
    <t xml:space="preserve">SEVERITY OF HARM (S)</t>
  </si>
  <si>
    <t xml:space="preserve">ACCEPTABILITY (Risk Index = S x P, 1-25)</t>
  </si>
  <si>
    <t xml:space="preserve">Thresholds used by formulas (do not move):</t>
  </si>
  <si>
    <t xml:space="preserve">Intolerable &gt;=</t>
  </si>
  <si>
    <t xml:space="preserve">Negligible</t>
  </si>
  <si>
    <t xml:space="preserve">No injury or slight inconvenience; no intervention.</t>
  </si>
  <si>
    <t xml:space="preserve">Intolerable</t>
  </si>
  <si>
    <t xml:space="preserve">Unacceptable - must reduce risk before proceeding</t>
  </si>
  <si>
    <t xml:space="preserve">High &gt;=</t>
  </si>
  <si>
    <t xml:space="preserve">Minor</t>
  </si>
  <si>
    <t xml:space="preserve">Temporary injury not requiring professional intervention.</t>
  </si>
  <si>
    <t xml:space="preserve">High</t>
  </si>
  <si>
    <t xml:space="preserve">Undesirable - reduce as far as possible (ALARP); justify residual</t>
  </si>
  <si>
    <t xml:space="preserve">Medium &gt;=</t>
  </si>
  <si>
    <t xml:space="preserve">Serious</t>
  </si>
  <si>
    <t xml:space="preserve">Injury requiring professional medical intervention.</t>
  </si>
  <si>
    <t xml:space="preserve">Medium</t>
  </si>
  <si>
    <t xml:space="preserve">Acceptable with review / documented controls</t>
  </si>
  <si>
    <t xml:space="preserve">Critical</t>
  </si>
  <si>
    <t xml:space="preserve">Permanent impairment or reversible life-threatening injury.</t>
  </si>
  <si>
    <t xml:space="preserve">Low</t>
  </si>
  <si>
    <t xml:space="preserve">Broadly acceptable - no further action required</t>
  </si>
  <si>
    <t xml:space="preserve">Catastrophic</t>
  </si>
  <si>
    <t xml:space="preserve">Death or permanent loss of life-sustaining function.</t>
  </si>
  <si>
    <t xml:space="preserve">PROBABILITY OF HARM (P, via P1 x P2)</t>
  </si>
  <si>
    <t xml:space="preserve">RISK MATRIX (cell = Seve x Prob)</t>
  </si>
  <si>
    <t xml:space="preserve">Severity\Probability</t>
  </si>
  <si>
    <t xml:space="preserve">Improbable</t>
  </si>
  <si>
    <t xml:space="preserve">&lt; 1 in 1,000,000</t>
  </si>
  <si>
    <t xml:space="preserve">Remote</t>
  </si>
  <si>
    <t xml:space="preserve">1 in 100k-1M</t>
  </si>
  <si>
    <t xml:space="preserve">Occasional</t>
  </si>
  <si>
    <t xml:space="preserve">1 in 1k-100k</t>
  </si>
  <si>
    <t xml:space="preserve">Probable</t>
  </si>
  <si>
    <t xml:space="preserve">1 in 100-1k</t>
  </si>
  <si>
    <t xml:space="preserve">Frequent</t>
  </si>
  <si>
    <t xml:space="preserve">&gt; 1 in 100</t>
  </si>
  <si>
    <t xml:space="preserve">P1 = prob. hazardous situation occurs; P2 = prob. it leads to harm. P = ROUNDUP(P1*P2/5,0).</t>
  </si>
  <si>
    <t xml:space="preserve">Hazard Mapping — ISO 14971 / ISO/TR 24971 (Annex C style)</t>
  </si>
  <si>
    <t xml:space="preserve">Typical hazardous situation</t>
  </si>
  <si>
    <t xml:space="preserve">Potential harm</t>
  </si>
  <si>
    <t xml:space="preserve">Typ. Severity</t>
  </si>
  <si>
    <t xml:space="preserve">Electrical energy</t>
  </si>
  <si>
    <t xml:space="preserve">Leakage current / insulation failure</t>
  </si>
  <si>
    <t xml:space="preserve">Patient contacts live part</t>
  </si>
  <si>
    <t xml:space="preserve">Electric shock / burns</t>
  </si>
  <si>
    <t xml:space="preserve">Thermal energy</t>
  </si>
  <si>
    <t xml:space="preserve">Surface over-temperature</t>
  </si>
  <si>
    <t xml:space="preserve">Skin contact with hot surface</t>
  </si>
  <si>
    <t xml:space="preserve">Thermal burn</t>
  </si>
  <si>
    <t xml:space="preserve">Mechanical energy</t>
  </si>
  <si>
    <t xml:space="preserve">Sharp edge / moving part</t>
  </si>
  <si>
    <t xml:space="preserve">Contact during use or service</t>
  </si>
  <si>
    <t xml:space="preserve">Laceration / crush injury</t>
  </si>
  <si>
    <t xml:space="preserve">Radiation energy</t>
  </si>
  <si>
    <t xml:space="preserve">Excess dose / output</t>
  </si>
  <si>
    <t xml:space="preserve">Patient over-exposed</t>
  </si>
  <si>
    <t xml:space="preserve">Tissue damage / long-term cancer risk</t>
  </si>
  <si>
    <t xml:space="preserve">Inadequate reprocessing / non-sterile</t>
  </si>
  <si>
    <t xml:space="preserve">Contaminated device used on patient</t>
  </si>
  <si>
    <t xml:space="preserve">Infection / sepsis</t>
  </si>
  <si>
    <t xml:space="preserve">Chemical / biocompatibility</t>
  </si>
  <si>
    <t xml:space="preserve">Leachables / cytotoxic material</t>
  </si>
  <si>
    <t xml:space="preserve">Prolonged tissue contact</t>
  </si>
  <si>
    <t xml:space="preserve">Toxic or allergic reaction</t>
  </si>
  <si>
    <t xml:space="preserve">Therapy delivery failure</t>
  </si>
  <si>
    <t xml:space="preserve">Therapy not delivered or incorrect</t>
  </si>
  <si>
    <t xml:space="preserve">Injury from missed / incorrect therapy</t>
  </si>
  <si>
    <t xml:space="preserve">Logic error, crash, race condition</t>
  </si>
  <si>
    <t xml:space="preserve">Incorrect output or no output</t>
  </si>
  <si>
    <t xml:space="preserve">Misdiagnosis / wrong therapy</t>
  </si>
  <si>
    <t xml:space="preserve">Information / labeling</t>
  </si>
  <si>
    <t xml:space="preserve">Ambiguous IFU or labeling</t>
  </si>
  <si>
    <t xml:space="preserve">User misunderstands intended use</t>
  </si>
  <si>
    <t xml:space="preserve">Use error leading to harm</t>
  </si>
  <si>
    <t xml:space="preserve">Use error</t>
  </si>
  <si>
    <t xml:space="preserve">Confusing UI / alarm fatigue</t>
  </si>
  <si>
    <t xml:space="preserve">Critical step omitted or mis-set</t>
  </si>
  <si>
    <t xml:space="preserve">Delayed or incorrect treatment</t>
  </si>
  <si>
    <t xml:space="preserve">Unauthorized access / tampering (STRIDE)</t>
  </si>
  <si>
    <t xml:space="preserve">Malicious change to settings or data</t>
  </si>
  <si>
    <t xml:space="preserve">Inappropriate therapy / data loss</t>
  </si>
  <si>
    <t xml:space="preserve">Environmental / EMC</t>
  </si>
  <si>
    <t xml:space="preserve">Electromagnetic interference</t>
  </si>
  <si>
    <t xml:space="preserve">Device malfunctions near EM source</t>
  </si>
  <si>
    <t xml:space="preserve">Temporary loss of function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</si>
</sst>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FFC7CE"/>
        <bgColor rgb="FFFFEB9C"/>
      </patternFill>
    </fill>
    <fill>
      <patternFill patternType="solid">
        <fgColor rgb="FFFFD966"/>
        <bgColor rgb="FFFFEB9C"/>
      </patternFill>
    </fill>
    <fill>
      <patternFill patternType="solid">
        <fgColor rgb="FFFFEB9C"/>
        <bgColor rgb="FFFFD966"/>
      </patternFill>
    </fill>
    <fill>
      <patternFill patternType="solid">
        <fgColor rgb="FFC6EFCE"/>
        <bgColor rgb="FFCCFFFF"/>
      </patternFill>
    </fill>
    <fill>
      <patternFill patternType="solid">
        <fgColor rgb="FFF2F5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C00000"/>
      </font>
      <fill>
        <patternFill>
          <bgColor rgb="FFFFC7CE"/>
        </patternFill>
      </fill>
    </dxf>
    <dxf>
      <fill>
        <patternFill>
          <bgColor rgb="FFFFD966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5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D966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22"/>
    <col collapsed="false" customWidth="true" hidden="false" outlineLevel="0" max="7" min="7" style="0" width="20"/>
    <col collapsed="false" customWidth="true" hidden="false" outlineLevel="0" max="8" min="8" style="0" width="13"/>
    <col collapsed="false" customWidth="true" hidden="false" outlineLevel="0" max="11" min="9" style="0" width="5"/>
    <col collapsed="false" customWidth="true" hidden="false" outlineLevel="0" max="12" min="12" style="0" width="6"/>
    <col collapsed="false" customWidth="true" hidden="false" outlineLevel="0" max="13" min="13" style="0" width="9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26"/>
    <col collapsed="false" customWidth="true" hidden="false" outlineLevel="0" max="17" min="17" style="0" width="16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2" min="20" style="0" width="5"/>
    <col collapsed="false" customWidth="true" hidden="false" outlineLevel="0" max="23" min="23" style="0" width="6"/>
    <col collapsed="false" customWidth="true" hidden="false" outlineLevel="0" max="24" min="24" style="0" width="9"/>
    <col collapsed="false" customWidth="true" hidden="false" outlineLevel="0" max="25" min="25" style="0" width="12"/>
    <col collapsed="false" customWidth="true" hidden="false" outlineLevel="0" max="26" min="26" style="0" width="14"/>
    <col collapsed="false" customWidth="true" hidden="false" outlineLevel="0" max="27" min="27" style="0" width="11"/>
    <col collapsed="false" customWidth="true" hidden="false" outlineLevel="0" max="28" min="28" style="0" width="24"/>
    <col collapsed="false" customWidth="true" hidden="false" outlineLevel="0" max="29" min="29" style="0" width="14"/>
    <col collapsed="false" customWidth="true" hidden="false" outlineLevel="0" max="30" min="30" style="0" width="10"/>
  </cols>
  <sheetData>
    <row r="1" customFormat="false" ht="16.15" hidden="false" customHeight="false" outlineLevel="0" collapsed="false">
      <c r="A1" s="1" t="s">
        <v>0</v>
      </c>
    </row>
    <row r="2" customFormat="false" ht="43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</row>
    <row r="3" customFormat="false" ht="55.5" hidden="false" customHeight="true" outlineLevel="0" collapsed="false">
      <c r="A3" s="3" t="s">
        <v>31</v>
      </c>
      <c r="B3" s="3" t="s">
        <v>32</v>
      </c>
      <c r="C3" s="4" t="s">
        <v>33</v>
      </c>
      <c r="D3" s="3" t="s">
        <v>34</v>
      </c>
      <c r="E3" s="3" t="s">
        <v>35</v>
      </c>
      <c r="F3" s="3" t="s">
        <v>36</v>
      </c>
      <c r="G3" s="3" t="s">
        <v>37</v>
      </c>
      <c r="H3" s="5" t="s">
        <v>38</v>
      </c>
      <c r="I3" s="5" t="n">
        <v>4</v>
      </c>
      <c r="J3" s="5" t="n">
        <v>3</v>
      </c>
      <c r="K3" s="4" t="n">
        <v>4</v>
      </c>
      <c r="L3" s="6" t="n">
        <f aca="false">IF(OR(J3="",K3=""),"",ROUNDUP(J3*K3/5,0))</f>
        <v>3</v>
      </c>
      <c r="M3" s="6" t="n">
        <f aca="false">IF(OR(I3="",L3=""),"",I3*L3)</f>
        <v>12</v>
      </c>
      <c r="N3" s="6" t="str">
        <f aca="false">IF(M3="","",IF(M3&gt;=Scales!$P$5,"Intolerable",IF(M3&gt;=Scales!$P$6,"High",IF(M3&gt;=Scales!$P$7,"Medium","Low"))))</f>
        <v>High</v>
      </c>
      <c r="O3" s="6" t="str">
        <f aca="false">IF(M3="","",IF(M3&gt;=Scales!$P$5,"Unacceptable",IF(M3&gt;=Scales!$P$6,"Reduce (ALARP)",IF(M3&gt;=Scales!$P$7,"Acceptable w/ review","Acceptable"))))</f>
        <v>Reduce (ALARP)</v>
      </c>
      <c r="P3" s="3" t="s">
        <v>39</v>
      </c>
      <c r="Q3" s="4" t="s">
        <v>40</v>
      </c>
      <c r="R3" s="3" t="s">
        <v>41</v>
      </c>
      <c r="S3" s="3" t="s">
        <v>42</v>
      </c>
      <c r="T3" s="5" t="n">
        <v>4</v>
      </c>
      <c r="U3" s="5" t="n">
        <v>1</v>
      </c>
      <c r="V3" s="5" t="n">
        <v>2</v>
      </c>
      <c r="W3" s="6" t="n">
        <f aca="false">IF(OR(U3="",V3=""),"",ROUNDUP(U3*V3/5,0))</f>
        <v>1</v>
      </c>
      <c r="X3" s="6" t="n">
        <f aca="false">IF(OR(T3="",W3=""),"",T3*W3)</f>
        <v>4</v>
      </c>
      <c r="Y3" s="6" t="str">
        <f aca="false">IF(X3="","",IF(X3&gt;=Scales!$P$5,"Intolerable",IF(X3&gt;=Scales!$P$6,"High",IF(X3&gt;=Scales!$P$7,"Medium","Low"))))</f>
        <v>Low</v>
      </c>
      <c r="Z3" s="6" t="str">
        <f aca="false">IF(X3="","",IF(X3&gt;=Scales!$P$5,"Unacceptable",IF(X3&gt;=Scales!$P$6,"Reduce (ALARP)",IF(X3&gt;=Scales!$P$7,"Acceptable w/ review","Acceptable"))))</f>
        <v>Acceptable</v>
      </c>
      <c r="AA3" s="4" t="s">
        <v>43</v>
      </c>
      <c r="AB3" s="3" t="s">
        <v>44</v>
      </c>
      <c r="AC3" s="4" t="s">
        <v>45</v>
      </c>
      <c r="AD3" s="6" t="str">
        <f aca="false">IF(Z3="","",IF(OR(Z3="Unacceptable",O3="Unacceptable"),"OPEN","Closed"))</f>
        <v>Closed</v>
      </c>
    </row>
    <row r="4" customFormat="false" ht="55.5" hidden="false" customHeight="true" outlineLevel="0" collapsed="false">
      <c r="A4" s="3" t="s">
        <v>46</v>
      </c>
      <c r="B4" s="3" t="s">
        <v>47</v>
      </c>
      <c r="C4" s="4" t="s">
        <v>48</v>
      </c>
      <c r="D4" s="3" t="s">
        <v>49</v>
      </c>
      <c r="E4" s="3" t="s">
        <v>50</v>
      </c>
      <c r="F4" s="3" t="s">
        <v>51</v>
      </c>
      <c r="G4" s="3" t="s">
        <v>52</v>
      </c>
      <c r="H4" s="5" t="s">
        <v>38</v>
      </c>
      <c r="I4" s="5" t="n">
        <v>4</v>
      </c>
      <c r="J4" s="5" t="n">
        <v>3</v>
      </c>
      <c r="K4" s="4" t="n">
        <v>4</v>
      </c>
      <c r="L4" s="6" t="n">
        <f aca="false">IF(OR(J4="",K4=""),"",ROUNDUP(J4*K4/5,0))</f>
        <v>3</v>
      </c>
      <c r="M4" s="6" t="n">
        <f aca="false">IF(OR(I4="",L4=""),"",I4*L4)</f>
        <v>12</v>
      </c>
      <c r="N4" s="6" t="str">
        <f aca="false">IF(M4="","",IF(M4&gt;=Scales!$P$5,"Intolerable",IF(M4&gt;=Scales!$P$6,"High",IF(M4&gt;=Scales!$P$7,"Medium","Low"))))</f>
        <v>High</v>
      </c>
      <c r="O4" s="6" t="str">
        <f aca="false">IF(M4="","",IF(M4&gt;=Scales!$P$5,"Unacceptable",IF(M4&gt;=Scales!$P$6,"Reduce (ALARP)",IF(M4&gt;=Scales!$P$7,"Acceptable w/ review","Acceptable"))))</f>
        <v>Reduce (ALARP)</v>
      </c>
      <c r="P4" s="3" t="s">
        <v>53</v>
      </c>
      <c r="Q4" s="4" t="s">
        <v>54</v>
      </c>
      <c r="R4" s="3" t="s">
        <v>55</v>
      </c>
      <c r="S4" s="3" t="s">
        <v>56</v>
      </c>
      <c r="T4" s="5" t="n">
        <v>4</v>
      </c>
      <c r="U4" s="5" t="n">
        <v>1</v>
      </c>
      <c r="V4" s="5" t="n">
        <v>2</v>
      </c>
      <c r="W4" s="6" t="n">
        <f aca="false">IF(OR(U4="",V4=""),"",ROUNDUP(U4*V4/5,0))</f>
        <v>1</v>
      </c>
      <c r="X4" s="6" t="n">
        <f aca="false">IF(OR(T4="",W4=""),"",T4*W4)</f>
        <v>4</v>
      </c>
      <c r="Y4" s="6" t="str">
        <f aca="false">IF(X4="","",IF(X4&gt;=Scales!$P$5,"Intolerable",IF(X4&gt;=Scales!$P$6,"High",IF(X4&gt;=Scales!$P$7,"Medium","Low"))))</f>
        <v>Low</v>
      </c>
      <c r="Z4" s="6" t="str">
        <f aca="false">IF(X4="","",IF(X4&gt;=Scales!$P$5,"Unacceptable",IF(X4&gt;=Scales!$P$6,"Reduce (ALARP)",IF(X4&gt;=Scales!$P$7,"Acceptable w/ review","Acceptable"))))</f>
        <v>Acceptable</v>
      </c>
      <c r="AA4" s="4" t="s">
        <v>43</v>
      </c>
      <c r="AB4" s="3" t="s">
        <v>44</v>
      </c>
      <c r="AC4" s="4" t="s">
        <v>57</v>
      </c>
      <c r="AD4" s="6" t="str">
        <f aca="false">IF(Z4="","",IF(OR(Z4="Unacceptable",O4="Unacceptable"),"OPEN","Closed"))</f>
        <v>Closed</v>
      </c>
    </row>
    <row r="5" customFormat="false" ht="55.5" hidden="false" customHeight="true" outlineLevel="0" collapsed="false">
      <c r="A5" s="3" t="s">
        <v>58</v>
      </c>
      <c r="B5" s="3" t="s">
        <v>59</v>
      </c>
      <c r="C5" s="4" t="s">
        <v>60</v>
      </c>
      <c r="D5" s="3" t="s">
        <v>61</v>
      </c>
      <c r="E5" s="3" t="s">
        <v>62</v>
      </c>
      <c r="F5" s="3" t="s">
        <v>63</v>
      </c>
      <c r="G5" s="3" t="s">
        <v>64</v>
      </c>
      <c r="H5" s="5" t="s">
        <v>38</v>
      </c>
      <c r="I5" s="5" t="n">
        <v>3</v>
      </c>
      <c r="J5" s="5" t="n">
        <v>2</v>
      </c>
      <c r="K5" s="4" t="n">
        <v>3</v>
      </c>
      <c r="L5" s="6" t="n">
        <f aca="false">IF(OR(J5="",K5=""),"",ROUNDUP(J5*K5/5,0))</f>
        <v>2</v>
      </c>
      <c r="M5" s="6" t="n">
        <f aca="false">IF(OR(I5="",L5=""),"",I5*L5)</f>
        <v>6</v>
      </c>
      <c r="N5" s="6" t="str">
        <f aca="false">IF(M5="","",IF(M5&gt;=Scales!$P$5,"Intolerable",IF(M5&gt;=Scales!$P$6,"High",IF(M5&gt;=Scales!$P$7,"Medium","Low"))))</f>
        <v>Medium</v>
      </c>
      <c r="O5" s="6" t="str">
        <f aca="false">IF(M5="","",IF(M5&gt;=Scales!$P$5,"Unacceptable",IF(M5&gt;=Scales!$P$6,"Reduce (ALARP)",IF(M5&gt;=Scales!$P$7,"Acceptable w/ review","Acceptable"))))</f>
        <v>Acceptable w/ review</v>
      </c>
      <c r="P5" s="3" t="s">
        <v>65</v>
      </c>
      <c r="Q5" s="4" t="s">
        <v>66</v>
      </c>
      <c r="R5" s="3" t="s">
        <v>67</v>
      </c>
      <c r="S5" s="3" t="s">
        <v>68</v>
      </c>
      <c r="T5" s="5" t="n">
        <v>3</v>
      </c>
      <c r="U5" s="5" t="n">
        <v>1</v>
      </c>
      <c r="V5" s="5" t="n">
        <v>2</v>
      </c>
      <c r="W5" s="6" t="n">
        <f aca="false">IF(OR(U5="",V5=""),"",ROUNDUP(U5*V5/5,0))</f>
        <v>1</v>
      </c>
      <c r="X5" s="6" t="n">
        <f aca="false">IF(OR(T5="",W5=""),"",T5*W5)</f>
        <v>3</v>
      </c>
      <c r="Y5" s="6" t="str">
        <f aca="false">IF(X5="","",IF(X5&gt;=Scales!$P$5,"Intolerable",IF(X5&gt;=Scales!$P$6,"High",IF(X5&gt;=Scales!$P$7,"Medium","Low"))))</f>
        <v>Low</v>
      </c>
      <c r="Z5" s="6" t="str">
        <f aca="false">IF(X5="","",IF(X5&gt;=Scales!$P$5,"Unacceptable",IF(X5&gt;=Scales!$P$6,"Reduce (ALARP)",IF(X5&gt;=Scales!$P$7,"Acceptable w/ review","Acceptable"))))</f>
        <v>Acceptable</v>
      </c>
      <c r="AA5" s="4" t="s">
        <v>43</v>
      </c>
      <c r="AB5" s="3" t="s">
        <v>44</v>
      </c>
      <c r="AC5" s="4" t="s">
        <v>69</v>
      </c>
      <c r="AD5" s="6" t="str">
        <f aca="false">IF(Z5="","",IF(OR(Z5="Unacceptable",O5="Unacceptable"),"OPEN","Closed"))</f>
        <v>Closed</v>
      </c>
    </row>
    <row r="6" customFormat="false" ht="55.5" hidden="false" customHeight="true" outlineLevel="0" collapsed="false">
      <c r="A6" s="3" t="s">
        <v>70</v>
      </c>
      <c r="B6" s="3" t="s">
        <v>71</v>
      </c>
      <c r="C6" s="4" t="s">
        <v>72</v>
      </c>
      <c r="D6" s="3" t="s">
        <v>73</v>
      </c>
      <c r="E6" s="3" t="s">
        <v>74</v>
      </c>
      <c r="F6" s="3" t="s">
        <v>75</v>
      </c>
      <c r="G6" s="3" t="s">
        <v>76</v>
      </c>
      <c r="H6" s="5" t="s">
        <v>38</v>
      </c>
      <c r="I6" s="5" t="n">
        <v>4</v>
      </c>
      <c r="J6" s="5" t="n">
        <v>2</v>
      </c>
      <c r="K6" s="4" t="n">
        <v>3</v>
      </c>
      <c r="L6" s="6" t="n">
        <f aca="false">IF(OR(J6="",K6=""),"",ROUNDUP(J6*K6/5,0))</f>
        <v>2</v>
      </c>
      <c r="M6" s="6" t="n">
        <f aca="false">IF(OR(I6="",L6=""),"",I6*L6)</f>
        <v>8</v>
      </c>
      <c r="N6" s="6" t="str">
        <f aca="false">IF(M6="","",IF(M6&gt;=Scales!$P$5,"Intolerable",IF(M6&gt;=Scales!$P$6,"High",IF(M6&gt;=Scales!$P$7,"Medium","Low"))))</f>
        <v>Medium</v>
      </c>
      <c r="O6" s="6" t="str">
        <f aca="false">IF(M6="","",IF(M6&gt;=Scales!$P$5,"Unacceptable",IF(M6&gt;=Scales!$P$6,"Reduce (ALARP)",IF(M6&gt;=Scales!$P$7,"Acceptable w/ review","Acceptable"))))</f>
        <v>Acceptable w/ review</v>
      </c>
      <c r="P6" s="3" t="s">
        <v>77</v>
      </c>
      <c r="Q6" s="4" t="s">
        <v>40</v>
      </c>
      <c r="R6" s="3" t="s">
        <v>78</v>
      </c>
      <c r="S6" s="3" t="s">
        <v>79</v>
      </c>
      <c r="T6" s="5" t="n">
        <v>4</v>
      </c>
      <c r="U6" s="5" t="n">
        <v>1</v>
      </c>
      <c r="V6" s="5" t="n">
        <v>2</v>
      </c>
      <c r="W6" s="6" t="n">
        <f aca="false">IF(OR(U6="",V6=""),"",ROUNDUP(U6*V6/5,0))</f>
        <v>1</v>
      </c>
      <c r="X6" s="6" t="n">
        <f aca="false">IF(OR(T6="",W6=""),"",T6*W6)</f>
        <v>4</v>
      </c>
      <c r="Y6" s="6" t="str">
        <f aca="false">IF(X6="","",IF(X6&gt;=Scales!$P$5,"Intolerable",IF(X6&gt;=Scales!$P$6,"High",IF(X6&gt;=Scales!$P$7,"Medium","Low"))))</f>
        <v>Low</v>
      </c>
      <c r="Z6" s="6" t="str">
        <f aca="false">IF(X6="","",IF(X6&gt;=Scales!$P$5,"Unacceptable",IF(X6&gt;=Scales!$P$6,"Reduce (ALARP)",IF(X6&gt;=Scales!$P$7,"Acceptable w/ review","Acceptable"))))</f>
        <v>Acceptable</v>
      </c>
      <c r="AA6" s="4" t="s">
        <v>43</v>
      </c>
      <c r="AB6" s="3" t="s">
        <v>44</v>
      </c>
      <c r="AC6" s="4" t="s">
        <v>69</v>
      </c>
      <c r="AD6" s="6" t="str">
        <f aca="false">IF(Z6="","",IF(OR(Z6="Unacceptable",O6="Unacceptable"),"OPEN","Closed"))</f>
        <v>Closed</v>
      </c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6" t="str">
        <f aca="false">IF(OR(J7="",K7=""),"",ROUNDUP(J7*K7/5,0))</f>
        <v/>
      </c>
      <c r="M7" s="6" t="str">
        <f aca="false">IF(OR(I7="",L7=""),"",I7*L7)</f>
        <v/>
      </c>
      <c r="N7" s="6" t="str">
        <f aca="false">IF(M7="","",IF(M7&gt;=Scales!$P$5,"Intolerable",IF(M7&gt;=Scales!$P$6,"High",IF(M7&gt;=Scales!$P$7,"Medium","Low"))))</f>
        <v/>
      </c>
      <c r="O7" s="6" t="str">
        <f aca="false">IF(M7="","",IF(M7&gt;=Scales!$P$5,"Unacceptable",IF(M7&gt;=Scales!$P$6,"Reduce (ALARP)",IF(M7&gt;=Scales!$P$7,"Acceptable w/ review","Acceptable"))))</f>
        <v/>
      </c>
      <c r="P7" s="7"/>
      <c r="Q7" s="7"/>
      <c r="R7" s="7"/>
      <c r="S7" s="7"/>
      <c r="T7" s="7"/>
      <c r="U7" s="7"/>
      <c r="V7" s="7"/>
      <c r="W7" s="6" t="str">
        <f aca="false">IF(OR(U7="",V7=""),"",ROUNDUP(U7*V7/5,0))</f>
        <v/>
      </c>
      <c r="X7" s="6" t="str">
        <f aca="false">IF(OR(T7="",W7=""),"",T7*W7)</f>
        <v/>
      </c>
      <c r="Y7" s="6" t="str">
        <f aca="false">IF(X7="","",IF(X7&gt;=Scales!$P$5,"Intolerable",IF(X7&gt;=Scales!$P$6,"High",IF(X7&gt;=Scales!$P$7,"Medium","Low"))))</f>
        <v/>
      </c>
      <c r="Z7" s="6" t="str">
        <f aca="false">IF(X7="","",IF(X7&gt;=Scales!$P$5,"Unacceptable",IF(X7&gt;=Scales!$P$6,"Reduce (ALARP)",IF(X7&gt;=Scales!$P$7,"Acceptable w/ review","Acceptable"))))</f>
        <v/>
      </c>
      <c r="AA7" s="7"/>
      <c r="AB7" s="7"/>
      <c r="AC7" s="7"/>
      <c r="AD7" s="6" t="str">
        <f aca="false">IF(Z7="","",IF(OR(Z7="Unacceptable",O7="Unacceptable"),"OPEN","Closed"))</f>
        <v/>
      </c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6" t="str">
        <f aca="false">IF(OR(J8="",K8=""),"",ROUNDUP(J8*K8/5,0))</f>
        <v/>
      </c>
      <c r="M8" s="6" t="str">
        <f aca="false">IF(OR(I8="",L8=""),"",I8*L8)</f>
        <v/>
      </c>
      <c r="N8" s="6" t="str">
        <f aca="false">IF(M8="","",IF(M8&gt;=Scales!$P$5,"Intolerable",IF(M8&gt;=Scales!$P$6,"High",IF(M8&gt;=Scales!$P$7,"Medium","Low"))))</f>
        <v/>
      </c>
      <c r="O8" s="6" t="str">
        <f aca="false">IF(M8="","",IF(M8&gt;=Scales!$P$5,"Unacceptable",IF(M8&gt;=Scales!$P$6,"Reduce (ALARP)",IF(M8&gt;=Scales!$P$7,"Acceptable w/ review","Acceptable"))))</f>
        <v/>
      </c>
      <c r="P8" s="7"/>
      <c r="Q8" s="7"/>
      <c r="R8" s="7"/>
      <c r="S8" s="7"/>
      <c r="T8" s="7"/>
      <c r="U8" s="7"/>
      <c r="V8" s="7"/>
      <c r="W8" s="6" t="str">
        <f aca="false">IF(OR(U8="",V8=""),"",ROUNDUP(U8*V8/5,0))</f>
        <v/>
      </c>
      <c r="X8" s="6" t="str">
        <f aca="false">IF(OR(T8="",W8=""),"",T8*W8)</f>
        <v/>
      </c>
      <c r="Y8" s="6" t="str">
        <f aca="false">IF(X8="","",IF(X8&gt;=Scales!$P$5,"Intolerable",IF(X8&gt;=Scales!$P$6,"High",IF(X8&gt;=Scales!$P$7,"Medium","Low"))))</f>
        <v/>
      </c>
      <c r="Z8" s="6" t="str">
        <f aca="false">IF(X8="","",IF(X8&gt;=Scales!$P$5,"Unacceptable",IF(X8&gt;=Scales!$P$6,"Reduce (ALARP)",IF(X8&gt;=Scales!$P$7,"Acceptable w/ review","Acceptable"))))</f>
        <v/>
      </c>
      <c r="AA8" s="7"/>
      <c r="AB8" s="7"/>
      <c r="AC8" s="7"/>
      <c r="AD8" s="6" t="str">
        <f aca="false">IF(Z8="","",IF(OR(Z8="Unacceptable",O8="Unacceptable"),"OPEN","Closed"))</f>
        <v/>
      </c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6" t="str">
        <f aca="false">IF(OR(J9="",K9=""),"",ROUNDUP(J9*K9/5,0))</f>
        <v/>
      </c>
      <c r="M9" s="6" t="str">
        <f aca="false">IF(OR(I9="",L9=""),"",I9*L9)</f>
        <v/>
      </c>
      <c r="N9" s="6" t="str">
        <f aca="false">IF(M9="","",IF(M9&gt;=Scales!$P$5,"Intolerable",IF(M9&gt;=Scales!$P$6,"High",IF(M9&gt;=Scales!$P$7,"Medium","Low"))))</f>
        <v/>
      </c>
      <c r="O9" s="6" t="str">
        <f aca="false">IF(M9="","",IF(M9&gt;=Scales!$P$5,"Unacceptable",IF(M9&gt;=Scales!$P$6,"Reduce (ALARP)",IF(M9&gt;=Scales!$P$7,"Acceptable w/ review","Acceptable"))))</f>
        <v/>
      </c>
      <c r="P9" s="7"/>
      <c r="Q9" s="7"/>
      <c r="R9" s="7"/>
      <c r="S9" s="7"/>
      <c r="T9" s="7"/>
      <c r="U9" s="7"/>
      <c r="V9" s="7"/>
      <c r="W9" s="6" t="str">
        <f aca="false">IF(OR(U9="",V9=""),"",ROUNDUP(U9*V9/5,0))</f>
        <v/>
      </c>
      <c r="X9" s="6" t="str">
        <f aca="false">IF(OR(T9="",W9=""),"",T9*W9)</f>
        <v/>
      </c>
      <c r="Y9" s="6" t="str">
        <f aca="false">IF(X9="","",IF(X9&gt;=Scales!$P$5,"Intolerable",IF(X9&gt;=Scales!$P$6,"High",IF(X9&gt;=Scales!$P$7,"Medium","Low"))))</f>
        <v/>
      </c>
      <c r="Z9" s="6" t="str">
        <f aca="false">IF(X9="","",IF(X9&gt;=Scales!$P$5,"Unacceptable",IF(X9&gt;=Scales!$P$6,"Reduce (ALARP)",IF(X9&gt;=Scales!$P$7,"Acceptable w/ review","Acceptable"))))</f>
        <v/>
      </c>
      <c r="AA9" s="7"/>
      <c r="AB9" s="7"/>
      <c r="AC9" s="7"/>
      <c r="AD9" s="6" t="str">
        <f aca="false">IF(Z9="","",IF(OR(Z9="Unacceptable",O9="Unacceptable"),"OPEN","Closed"))</f>
        <v/>
      </c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6" t="str">
        <f aca="false">IF(OR(J10="",K10=""),"",ROUNDUP(J10*K10/5,0))</f>
        <v/>
      </c>
      <c r="M10" s="6" t="str">
        <f aca="false">IF(OR(I10="",L10=""),"",I10*L10)</f>
        <v/>
      </c>
      <c r="N10" s="6" t="str">
        <f aca="false">IF(M10="","",IF(M10&gt;=Scales!$P$5,"Intolerable",IF(M10&gt;=Scales!$P$6,"High",IF(M10&gt;=Scales!$P$7,"Medium","Low"))))</f>
        <v/>
      </c>
      <c r="O10" s="6" t="str">
        <f aca="false">IF(M10="","",IF(M10&gt;=Scales!$P$5,"Unacceptable",IF(M10&gt;=Scales!$P$6,"Reduce (ALARP)",IF(M10&gt;=Scales!$P$7,"Acceptable w/ review","Acceptable"))))</f>
        <v/>
      </c>
      <c r="P10" s="7"/>
      <c r="Q10" s="7"/>
      <c r="R10" s="7"/>
      <c r="S10" s="7"/>
      <c r="T10" s="7"/>
      <c r="U10" s="7"/>
      <c r="V10" s="7"/>
      <c r="W10" s="6" t="str">
        <f aca="false">IF(OR(U10="",V10=""),"",ROUNDUP(U10*V10/5,0))</f>
        <v/>
      </c>
      <c r="X10" s="6" t="str">
        <f aca="false">IF(OR(T10="",W10=""),"",T10*W10)</f>
        <v/>
      </c>
      <c r="Y10" s="6" t="str">
        <f aca="false">IF(X10="","",IF(X10&gt;=Scales!$P$5,"Intolerable",IF(X10&gt;=Scales!$P$6,"High",IF(X10&gt;=Scales!$P$7,"Medium","Low"))))</f>
        <v/>
      </c>
      <c r="Z10" s="6" t="str">
        <f aca="false">IF(X10="","",IF(X10&gt;=Scales!$P$5,"Unacceptable",IF(X10&gt;=Scales!$P$6,"Reduce (ALARP)",IF(X10&gt;=Scales!$P$7,"Acceptable w/ review","Acceptable"))))</f>
        <v/>
      </c>
      <c r="AA10" s="7"/>
      <c r="AB10" s="7"/>
      <c r="AC10" s="7"/>
      <c r="AD10" s="6" t="str">
        <f aca="false">IF(Z10="","",IF(OR(Z10="Unacceptable",O10="Unacceptable"),"OPEN","Closed"))</f>
        <v/>
      </c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6" t="str">
        <f aca="false">IF(OR(J11="",K11=""),"",ROUNDUP(J11*K11/5,0))</f>
        <v/>
      </c>
      <c r="M11" s="6" t="str">
        <f aca="false">IF(OR(I11="",L11=""),"",I11*L11)</f>
        <v/>
      </c>
      <c r="N11" s="6" t="str">
        <f aca="false">IF(M11="","",IF(M11&gt;=Scales!$P$5,"Intolerable",IF(M11&gt;=Scales!$P$6,"High",IF(M11&gt;=Scales!$P$7,"Medium","Low"))))</f>
        <v/>
      </c>
      <c r="O11" s="6" t="str">
        <f aca="false">IF(M11="","",IF(M11&gt;=Scales!$P$5,"Unacceptable",IF(M11&gt;=Scales!$P$6,"Reduce (ALARP)",IF(M11&gt;=Scales!$P$7,"Acceptable w/ review","Acceptable"))))</f>
        <v/>
      </c>
      <c r="P11" s="7"/>
      <c r="Q11" s="7"/>
      <c r="R11" s="7"/>
      <c r="S11" s="7"/>
      <c r="T11" s="7"/>
      <c r="U11" s="7"/>
      <c r="V11" s="7"/>
      <c r="W11" s="6" t="str">
        <f aca="false">IF(OR(U11="",V11=""),"",ROUNDUP(U11*V11/5,0))</f>
        <v/>
      </c>
      <c r="X11" s="6" t="str">
        <f aca="false">IF(OR(T11="",W11=""),"",T11*W11)</f>
        <v/>
      </c>
      <c r="Y11" s="6" t="str">
        <f aca="false">IF(X11="","",IF(X11&gt;=Scales!$P$5,"Intolerable",IF(X11&gt;=Scales!$P$6,"High",IF(X11&gt;=Scales!$P$7,"Medium","Low"))))</f>
        <v/>
      </c>
      <c r="Z11" s="6" t="str">
        <f aca="false">IF(X11="","",IF(X11&gt;=Scales!$P$5,"Unacceptable",IF(X11&gt;=Scales!$P$6,"Reduce (ALARP)",IF(X11&gt;=Scales!$P$7,"Acceptable w/ review","Acceptable"))))</f>
        <v/>
      </c>
      <c r="AA11" s="7"/>
      <c r="AB11" s="7"/>
      <c r="AC11" s="7"/>
      <c r="AD11" s="6" t="str">
        <f aca="false">IF(Z11="","",IF(OR(Z11="Unacceptable",O11="Unacceptable"),"OPEN","Closed"))</f>
        <v/>
      </c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6" t="str">
        <f aca="false">IF(OR(J12="",K12=""),"",ROUNDUP(J12*K12/5,0))</f>
        <v/>
      </c>
      <c r="M12" s="6" t="str">
        <f aca="false">IF(OR(I12="",L12=""),"",I12*L12)</f>
        <v/>
      </c>
      <c r="N12" s="6" t="str">
        <f aca="false">IF(M12="","",IF(M12&gt;=Scales!$P$5,"Intolerable",IF(M12&gt;=Scales!$P$6,"High",IF(M12&gt;=Scales!$P$7,"Medium","Low"))))</f>
        <v/>
      </c>
      <c r="O12" s="6" t="str">
        <f aca="false">IF(M12="","",IF(M12&gt;=Scales!$P$5,"Unacceptable",IF(M12&gt;=Scales!$P$6,"Reduce (ALARP)",IF(M12&gt;=Scales!$P$7,"Acceptable w/ review","Acceptable"))))</f>
        <v/>
      </c>
      <c r="P12" s="7"/>
      <c r="Q12" s="7"/>
      <c r="R12" s="7"/>
      <c r="S12" s="7"/>
      <c r="T12" s="7"/>
      <c r="U12" s="7"/>
      <c r="V12" s="7"/>
      <c r="W12" s="6" t="str">
        <f aca="false">IF(OR(U12="",V12=""),"",ROUNDUP(U12*V12/5,0))</f>
        <v/>
      </c>
      <c r="X12" s="6" t="str">
        <f aca="false">IF(OR(T12="",W12=""),"",T12*W12)</f>
        <v/>
      </c>
      <c r="Y12" s="6" t="str">
        <f aca="false">IF(X12="","",IF(X12&gt;=Scales!$P$5,"Intolerable",IF(X12&gt;=Scales!$P$6,"High",IF(X12&gt;=Scales!$P$7,"Medium","Low"))))</f>
        <v/>
      </c>
      <c r="Z12" s="6" t="str">
        <f aca="false">IF(X12="","",IF(X12&gt;=Scales!$P$5,"Unacceptable",IF(X12&gt;=Scales!$P$6,"Reduce (ALARP)",IF(X12&gt;=Scales!$P$7,"Acceptable w/ review","Acceptable"))))</f>
        <v/>
      </c>
      <c r="AA12" s="7"/>
      <c r="AB12" s="7"/>
      <c r="AC12" s="7"/>
      <c r="AD12" s="6" t="str">
        <f aca="false">IF(Z12="","",IF(OR(Z12="Unacceptable",O12="Unacceptable"),"OPEN","Closed"))</f>
        <v/>
      </c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6" t="str">
        <f aca="false">IF(OR(J13="",K13=""),"",ROUNDUP(J13*K13/5,0))</f>
        <v/>
      </c>
      <c r="M13" s="6" t="str">
        <f aca="false">IF(OR(I13="",L13=""),"",I13*L13)</f>
        <v/>
      </c>
      <c r="N13" s="6" t="str">
        <f aca="false">IF(M13="","",IF(M13&gt;=Scales!$P$5,"Intolerable",IF(M13&gt;=Scales!$P$6,"High",IF(M13&gt;=Scales!$P$7,"Medium","Low"))))</f>
        <v/>
      </c>
      <c r="O13" s="6" t="str">
        <f aca="false">IF(M13="","",IF(M13&gt;=Scales!$P$5,"Unacceptable",IF(M13&gt;=Scales!$P$6,"Reduce (ALARP)",IF(M13&gt;=Scales!$P$7,"Acceptable w/ review","Acceptable"))))</f>
        <v/>
      </c>
      <c r="P13" s="7"/>
      <c r="Q13" s="7"/>
      <c r="R13" s="7"/>
      <c r="S13" s="7"/>
      <c r="T13" s="7"/>
      <c r="U13" s="7"/>
      <c r="V13" s="7"/>
      <c r="W13" s="6" t="str">
        <f aca="false">IF(OR(U13="",V13=""),"",ROUNDUP(U13*V13/5,0))</f>
        <v/>
      </c>
      <c r="X13" s="6" t="str">
        <f aca="false">IF(OR(T13="",W13=""),"",T13*W13)</f>
        <v/>
      </c>
      <c r="Y13" s="6" t="str">
        <f aca="false">IF(X13="","",IF(X13&gt;=Scales!$P$5,"Intolerable",IF(X13&gt;=Scales!$P$6,"High",IF(X13&gt;=Scales!$P$7,"Medium","Low"))))</f>
        <v/>
      </c>
      <c r="Z13" s="6" t="str">
        <f aca="false">IF(X13="","",IF(X13&gt;=Scales!$P$5,"Unacceptable",IF(X13&gt;=Scales!$P$6,"Reduce (ALARP)",IF(X13&gt;=Scales!$P$7,"Acceptable w/ review","Acceptable"))))</f>
        <v/>
      </c>
      <c r="AA13" s="7"/>
      <c r="AB13" s="7"/>
      <c r="AC13" s="7"/>
      <c r="AD13" s="6" t="str">
        <f aca="false">IF(Z13="","",IF(OR(Z13="Unacceptable",O13="Unacceptable"),"OPEN","Closed"))</f>
        <v/>
      </c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6" t="str">
        <f aca="false">IF(OR(J14="",K14=""),"",ROUNDUP(J14*K14/5,0))</f>
        <v/>
      </c>
      <c r="M14" s="6" t="str">
        <f aca="false">IF(OR(I14="",L14=""),"",I14*L14)</f>
        <v/>
      </c>
      <c r="N14" s="6" t="str">
        <f aca="false">IF(M14="","",IF(M14&gt;=Scales!$P$5,"Intolerable",IF(M14&gt;=Scales!$P$6,"High",IF(M14&gt;=Scales!$P$7,"Medium","Low"))))</f>
        <v/>
      </c>
      <c r="O14" s="6" t="str">
        <f aca="false">IF(M14="","",IF(M14&gt;=Scales!$P$5,"Unacceptable",IF(M14&gt;=Scales!$P$6,"Reduce (ALARP)",IF(M14&gt;=Scales!$P$7,"Acceptable w/ review","Acceptable"))))</f>
        <v/>
      </c>
      <c r="P14" s="7"/>
      <c r="Q14" s="7"/>
      <c r="R14" s="7"/>
      <c r="S14" s="7"/>
      <c r="T14" s="7"/>
      <c r="U14" s="7"/>
      <c r="V14" s="7"/>
      <c r="W14" s="6" t="str">
        <f aca="false">IF(OR(U14="",V14=""),"",ROUNDUP(U14*V14/5,0))</f>
        <v/>
      </c>
      <c r="X14" s="6" t="str">
        <f aca="false">IF(OR(T14="",W14=""),"",T14*W14)</f>
        <v/>
      </c>
      <c r="Y14" s="6" t="str">
        <f aca="false">IF(X14="","",IF(X14&gt;=Scales!$P$5,"Intolerable",IF(X14&gt;=Scales!$P$6,"High",IF(X14&gt;=Scales!$P$7,"Medium","Low"))))</f>
        <v/>
      </c>
      <c r="Z14" s="6" t="str">
        <f aca="false">IF(X14="","",IF(X14&gt;=Scales!$P$5,"Unacceptable",IF(X14&gt;=Scales!$P$6,"Reduce (ALARP)",IF(X14&gt;=Scales!$P$7,"Acceptable w/ review","Acceptable"))))</f>
        <v/>
      </c>
      <c r="AA14" s="7"/>
      <c r="AB14" s="7"/>
      <c r="AC14" s="7"/>
      <c r="AD14" s="6" t="str">
        <f aca="false">IF(Z14="","",IF(OR(Z14="Unacceptable",O14="Unacceptable"),"OPEN","Closed"))</f>
        <v/>
      </c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6" t="str">
        <f aca="false">IF(OR(J15="",K15=""),"",ROUNDUP(J15*K15/5,0))</f>
        <v/>
      </c>
      <c r="M15" s="6" t="str">
        <f aca="false">IF(OR(I15="",L15=""),"",I15*L15)</f>
        <v/>
      </c>
      <c r="N15" s="6" t="str">
        <f aca="false">IF(M15="","",IF(M15&gt;=Scales!$P$5,"Intolerable",IF(M15&gt;=Scales!$P$6,"High",IF(M15&gt;=Scales!$P$7,"Medium","Low"))))</f>
        <v/>
      </c>
      <c r="O15" s="6" t="str">
        <f aca="false">IF(M15="","",IF(M15&gt;=Scales!$P$5,"Unacceptable",IF(M15&gt;=Scales!$P$6,"Reduce (ALARP)",IF(M15&gt;=Scales!$P$7,"Acceptable w/ review","Acceptable"))))</f>
        <v/>
      </c>
      <c r="P15" s="7"/>
      <c r="Q15" s="7"/>
      <c r="R15" s="7"/>
      <c r="S15" s="7"/>
      <c r="T15" s="7"/>
      <c r="U15" s="7"/>
      <c r="V15" s="7"/>
      <c r="W15" s="6" t="str">
        <f aca="false">IF(OR(U15="",V15=""),"",ROUNDUP(U15*V15/5,0))</f>
        <v/>
      </c>
      <c r="X15" s="6" t="str">
        <f aca="false">IF(OR(T15="",W15=""),"",T15*W15)</f>
        <v/>
      </c>
      <c r="Y15" s="6" t="str">
        <f aca="false">IF(X15="","",IF(X15&gt;=Scales!$P$5,"Intolerable",IF(X15&gt;=Scales!$P$6,"High",IF(X15&gt;=Scales!$P$7,"Medium","Low"))))</f>
        <v/>
      </c>
      <c r="Z15" s="6" t="str">
        <f aca="false">IF(X15="","",IF(X15&gt;=Scales!$P$5,"Unacceptable",IF(X15&gt;=Scales!$P$6,"Reduce (ALARP)",IF(X15&gt;=Scales!$P$7,"Acceptable w/ review","Acceptable"))))</f>
        <v/>
      </c>
      <c r="AA15" s="7"/>
      <c r="AB15" s="7"/>
      <c r="AC15" s="7"/>
      <c r="AD15" s="6" t="str">
        <f aca="false">IF(Z15="","",IF(OR(Z15="Unacceptable",O15="Unacceptable"),"OPEN","Closed"))</f>
        <v/>
      </c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6" t="str">
        <f aca="false">IF(OR(J16="",K16=""),"",ROUNDUP(J16*K16/5,0))</f>
        <v/>
      </c>
      <c r="M16" s="6" t="str">
        <f aca="false">IF(OR(I16="",L16=""),"",I16*L16)</f>
        <v/>
      </c>
      <c r="N16" s="6" t="str">
        <f aca="false">IF(M16="","",IF(M16&gt;=Scales!$P$5,"Intolerable",IF(M16&gt;=Scales!$P$6,"High",IF(M16&gt;=Scales!$P$7,"Medium","Low"))))</f>
        <v/>
      </c>
      <c r="O16" s="6" t="str">
        <f aca="false">IF(M16="","",IF(M16&gt;=Scales!$P$5,"Unacceptable",IF(M16&gt;=Scales!$P$6,"Reduce (ALARP)",IF(M16&gt;=Scales!$P$7,"Acceptable w/ review","Acceptable"))))</f>
        <v/>
      </c>
      <c r="P16" s="7"/>
      <c r="Q16" s="7"/>
      <c r="R16" s="7"/>
      <c r="S16" s="7"/>
      <c r="T16" s="7"/>
      <c r="U16" s="7"/>
      <c r="V16" s="7"/>
      <c r="W16" s="6" t="str">
        <f aca="false">IF(OR(U16="",V16=""),"",ROUNDUP(U16*V16/5,0))</f>
        <v/>
      </c>
      <c r="X16" s="6" t="str">
        <f aca="false">IF(OR(T16="",W16=""),"",T16*W16)</f>
        <v/>
      </c>
      <c r="Y16" s="6" t="str">
        <f aca="false">IF(X16="","",IF(X16&gt;=Scales!$P$5,"Intolerable",IF(X16&gt;=Scales!$P$6,"High",IF(X16&gt;=Scales!$P$7,"Medium","Low"))))</f>
        <v/>
      </c>
      <c r="Z16" s="6" t="str">
        <f aca="false">IF(X16="","",IF(X16&gt;=Scales!$P$5,"Unacceptable",IF(X16&gt;=Scales!$P$6,"Reduce (ALARP)",IF(X16&gt;=Scales!$P$7,"Acceptable w/ review","Acceptable"))))</f>
        <v/>
      </c>
      <c r="AA16" s="7"/>
      <c r="AB16" s="7"/>
      <c r="AC16" s="7"/>
      <c r="AD16" s="6" t="str">
        <f aca="false">IF(Z16="","",IF(OR(Z16="Unacceptable",O16="Unacceptable"),"OPEN","Closed"))</f>
        <v/>
      </c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6" t="str">
        <f aca="false">IF(OR(J17="",K17=""),"",ROUNDUP(J17*K17/5,0))</f>
        <v/>
      </c>
      <c r="M17" s="6" t="str">
        <f aca="false">IF(OR(I17="",L17=""),"",I17*L17)</f>
        <v/>
      </c>
      <c r="N17" s="6" t="str">
        <f aca="false">IF(M17="","",IF(M17&gt;=Scales!$P$5,"Intolerable",IF(M17&gt;=Scales!$P$6,"High",IF(M17&gt;=Scales!$P$7,"Medium","Low"))))</f>
        <v/>
      </c>
      <c r="O17" s="6" t="str">
        <f aca="false">IF(M17="","",IF(M17&gt;=Scales!$P$5,"Unacceptable",IF(M17&gt;=Scales!$P$6,"Reduce (ALARP)",IF(M17&gt;=Scales!$P$7,"Acceptable w/ review","Acceptable"))))</f>
        <v/>
      </c>
      <c r="P17" s="7"/>
      <c r="Q17" s="7"/>
      <c r="R17" s="7"/>
      <c r="S17" s="7"/>
      <c r="T17" s="7"/>
      <c r="U17" s="7"/>
      <c r="V17" s="7"/>
      <c r="W17" s="6" t="str">
        <f aca="false">IF(OR(U17="",V17=""),"",ROUNDUP(U17*V17/5,0))</f>
        <v/>
      </c>
      <c r="X17" s="6" t="str">
        <f aca="false">IF(OR(T17="",W17=""),"",T17*W17)</f>
        <v/>
      </c>
      <c r="Y17" s="6" t="str">
        <f aca="false">IF(X17="","",IF(X17&gt;=Scales!$P$5,"Intolerable",IF(X17&gt;=Scales!$P$6,"High",IF(X17&gt;=Scales!$P$7,"Medium","Low"))))</f>
        <v/>
      </c>
      <c r="Z17" s="6" t="str">
        <f aca="false">IF(X17="","",IF(X17&gt;=Scales!$P$5,"Unacceptable",IF(X17&gt;=Scales!$P$6,"Reduce (ALARP)",IF(X17&gt;=Scales!$P$7,"Acceptable w/ review","Acceptable"))))</f>
        <v/>
      </c>
      <c r="AA17" s="7"/>
      <c r="AB17" s="7"/>
      <c r="AC17" s="7"/>
      <c r="AD17" s="6" t="str">
        <f aca="false">IF(Z17="","",IF(OR(Z17="Unacceptable",O17="Unacceptable"),"OPEN","Closed"))</f>
        <v/>
      </c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6" t="str">
        <f aca="false">IF(OR(J18="",K18=""),"",ROUNDUP(J18*K18/5,0))</f>
        <v/>
      </c>
      <c r="M18" s="6" t="str">
        <f aca="false">IF(OR(I18="",L18=""),"",I18*L18)</f>
        <v/>
      </c>
      <c r="N18" s="6" t="str">
        <f aca="false">IF(M18="","",IF(M18&gt;=Scales!$P$5,"Intolerable",IF(M18&gt;=Scales!$P$6,"High",IF(M18&gt;=Scales!$P$7,"Medium","Low"))))</f>
        <v/>
      </c>
      <c r="O18" s="6" t="str">
        <f aca="false">IF(M18="","",IF(M18&gt;=Scales!$P$5,"Unacceptable",IF(M18&gt;=Scales!$P$6,"Reduce (ALARP)",IF(M18&gt;=Scales!$P$7,"Acceptable w/ review","Acceptable"))))</f>
        <v/>
      </c>
      <c r="P18" s="7"/>
      <c r="Q18" s="7"/>
      <c r="R18" s="7"/>
      <c r="S18" s="7"/>
      <c r="T18" s="7"/>
      <c r="U18" s="7"/>
      <c r="V18" s="7"/>
      <c r="W18" s="6" t="str">
        <f aca="false">IF(OR(U18="",V18=""),"",ROUNDUP(U18*V18/5,0))</f>
        <v/>
      </c>
      <c r="X18" s="6" t="str">
        <f aca="false">IF(OR(T18="",W18=""),"",T18*W18)</f>
        <v/>
      </c>
      <c r="Y18" s="6" t="str">
        <f aca="false">IF(X18="","",IF(X18&gt;=Scales!$P$5,"Intolerable",IF(X18&gt;=Scales!$P$6,"High",IF(X18&gt;=Scales!$P$7,"Medium","Low"))))</f>
        <v/>
      </c>
      <c r="Z18" s="6" t="str">
        <f aca="false">IF(X18="","",IF(X18&gt;=Scales!$P$5,"Unacceptable",IF(X18&gt;=Scales!$P$6,"Reduce (ALARP)",IF(X18&gt;=Scales!$P$7,"Acceptable w/ review","Acceptable"))))</f>
        <v/>
      </c>
      <c r="AA18" s="7"/>
      <c r="AB18" s="7"/>
      <c r="AC18" s="7"/>
      <c r="AD18" s="6" t="str">
        <f aca="false">IF(Z18="","",IF(OR(Z18="Unacceptable",O18="Unacceptable"),"OPEN","Closed"))</f>
        <v/>
      </c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6" t="str">
        <f aca="false">IF(OR(J19="",K19=""),"",ROUNDUP(J19*K19/5,0))</f>
        <v/>
      </c>
      <c r="M19" s="6" t="str">
        <f aca="false">IF(OR(I19="",L19=""),"",I19*L19)</f>
        <v/>
      </c>
      <c r="N19" s="6" t="str">
        <f aca="false">IF(M19="","",IF(M19&gt;=Scales!$P$5,"Intolerable",IF(M19&gt;=Scales!$P$6,"High",IF(M19&gt;=Scales!$P$7,"Medium","Low"))))</f>
        <v/>
      </c>
      <c r="O19" s="6" t="str">
        <f aca="false">IF(M19="","",IF(M19&gt;=Scales!$P$5,"Unacceptable",IF(M19&gt;=Scales!$P$6,"Reduce (ALARP)",IF(M19&gt;=Scales!$P$7,"Acceptable w/ review","Acceptable"))))</f>
        <v/>
      </c>
      <c r="P19" s="7"/>
      <c r="Q19" s="7"/>
      <c r="R19" s="7"/>
      <c r="S19" s="7"/>
      <c r="T19" s="7"/>
      <c r="U19" s="7"/>
      <c r="V19" s="7"/>
      <c r="W19" s="6" t="str">
        <f aca="false">IF(OR(U19="",V19=""),"",ROUNDUP(U19*V19/5,0))</f>
        <v/>
      </c>
      <c r="X19" s="6" t="str">
        <f aca="false">IF(OR(T19="",W19=""),"",T19*W19)</f>
        <v/>
      </c>
      <c r="Y19" s="6" t="str">
        <f aca="false">IF(X19="","",IF(X19&gt;=Scales!$P$5,"Intolerable",IF(X19&gt;=Scales!$P$6,"High",IF(X19&gt;=Scales!$P$7,"Medium","Low"))))</f>
        <v/>
      </c>
      <c r="Z19" s="6" t="str">
        <f aca="false">IF(X19="","",IF(X19&gt;=Scales!$P$5,"Unacceptable",IF(X19&gt;=Scales!$P$6,"Reduce (ALARP)",IF(X19&gt;=Scales!$P$7,"Acceptable w/ review","Acceptable"))))</f>
        <v/>
      </c>
      <c r="AA19" s="7"/>
      <c r="AB19" s="7"/>
      <c r="AC19" s="7"/>
      <c r="AD19" s="6" t="str">
        <f aca="false">IF(Z19="","",IF(OR(Z19="Unacceptable",O19="Unacceptable"),"OPEN","Closed"))</f>
        <v/>
      </c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6" t="str">
        <f aca="false">IF(OR(J20="",K20=""),"",ROUNDUP(J20*K20/5,0))</f>
        <v/>
      </c>
      <c r="M20" s="6" t="str">
        <f aca="false">IF(OR(I20="",L20=""),"",I20*L20)</f>
        <v/>
      </c>
      <c r="N20" s="6" t="str">
        <f aca="false">IF(M20="","",IF(M20&gt;=Scales!$P$5,"Intolerable",IF(M20&gt;=Scales!$P$6,"High",IF(M20&gt;=Scales!$P$7,"Medium","Low"))))</f>
        <v/>
      </c>
      <c r="O20" s="6" t="str">
        <f aca="false">IF(M20="","",IF(M20&gt;=Scales!$P$5,"Unacceptable",IF(M20&gt;=Scales!$P$6,"Reduce (ALARP)",IF(M20&gt;=Scales!$P$7,"Acceptable w/ review","Acceptable"))))</f>
        <v/>
      </c>
      <c r="P20" s="7"/>
      <c r="Q20" s="7"/>
      <c r="R20" s="7"/>
      <c r="S20" s="7"/>
      <c r="T20" s="7"/>
      <c r="U20" s="7"/>
      <c r="V20" s="7"/>
      <c r="W20" s="6" t="str">
        <f aca="false">IF(OR(U20="",V20=""),"",ROUNDUP(U20*V20/5,0))</f>
        <v/>
      </c>
      <c r="X20" s="6" t="str">
        <f aca="false">IF(OR(T20="",W20=""),"",T20*W20)</f>
        <v/>
      </c>
      <c r="Y20" s="6" t="str">
        <f aca="false">IF(X20="","",IF(X20&gt;=Scales!$P$5,"Intolerable",IF(X20&gt;=Scales!$P$6,"High",IF(X20&gt;=Scales!$P$7,"Medium","Low"))))</f>
        <v/>
      </c>
      <c r="Z20" s="6" t="str">
        <f aca="false">IF(X20="","",IF(X20&gt;=Scales!$P$5,"Unacceptable",IF(X20&gt;=Scales!$P$6,"Reduce (ALARP)",IF(X20&gt;=Scales!$P$7,"Acceptable w/ review","Acceptable"))))</f>
        <v/>
      </c>
      <c r="AA20" s="7"/>
      <c r="AB20" s="7"/>
      <c r="AC20" s="7"/>
      <c r="AD20" s="6" t="str">
        <f aca="false">IF(Z20="","",IF(OR(Z20="Unacceptable",O20="Unacceptable"),"OPEN","Closed"))</f>
        <v/>
      </c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6" t="str">
        <f aca="false">IF(OR(J21="",K21=""),"",ROUNDUP(J21*K21/5,0))</f>
        <v/>
      </c>
      <c r="M21" s="6" t="str">
        <f aca="false">IF(OR(I21="",L21=""),"",I21*L21)</f>
        <v/>
      </c>
      <c r="N21" s="6" t="str">
        <f aca="false">IF(M21="","",IF(M21&gt;=Scales!$P$5,"Intolerable",IF(M21&gt;=Scales!$P$6,"High",IF(M21&gt;=Scales!$P$7,"Medium","Low"))))</f>
        <v/>
      </c>
      <c r="O21" s="6" t="str">
        <f aca="false">IF(M21="","",IF(M21&gt;=Scales!$P$5,"Unacceptable",IF(M21&gt;=Scales!$P$6,"Reduce (ALARP)",IF(M21&gt;=Scales!$P$7,"Acceptable w/ review","Acceptable"))))</f>
        <v/>
      </c>
      <c r="P21" s="7"/>
      <c r="Q21" s="7"/>
      <c r="R21" s="7"/>
      <c r="S21" s="7"/>
      <c r="T21" s="7"/>
      <c r="U21" s="7"/>
      <c r="V21" s="7"/>
      <c r="W21" s="6" t="str">
        <f aca="false">IF(OR(U21="",V21=""),"",ROUNDUP(U21*V21/5,0))</f>
        <v/>
      </c>
      <c r="X21" s="6" t="str">
        <f aca="false">IF(OR(T21="",W21=""),"",T21*W21)</f>
        <v/>
      </c>
      <c r="Y21" s="6" t="str">
        <f aca="false">IF(X21="","",IF(X21&gt;=Scales!$P$5,"Intolerable",IF(X21&gt;=Scales!$P$6,"High",IF(X21&gt;=Scales!$P$7,"Medium","Low"))))</f>
        <v/>
      </c>
      <c r="Z21" s="6" t="str">
        <f aca="false">IF(X21="","",IF(X21&gt;=Scales!$P$5,"Unacceptable",IF(X21&gt;=Scales!$P$6,"Reduce (ALARP)",IF(X21&gt;=Scales!$P$7,"Acceptable w/ review","Acceptable"))))</f>
        <v/>
      </c>
      <c r="AA21" s="7"/>
      <c r="AB21" s="7"/>
      <c r="AC21" s="7"/>
      <c r="AD21" s="6" t="str">
        <f aca="false">IF(Z21="","",IF(OR(Z21="Unacceptable",O21="Unacceptable"),"OPEN","Closed"))</f>
        <v/>
      </c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6" t="str">
        <f aca="false">IF(OR(J22="",K22=""),"",ROUNDUP(J22*K22/5,0))</f>
        <v/>
      </c>
      <c r="M22" s="6" t="str">
        <f aca="false">IF(OR(I22="",L22=""),"",I22*L22)</f>
        <v/>
      </c>
      <c r="N22" s="6" t="str">
        <f aca="false">IF(M22="","",IF(M22&gt;=Scales!$P$5,"Intolerable",IF(M22&gt;=Scales!$P$6,"High",IF(M22&gt;=Scales!$P$7,"Medium","Low"))))</f>
        <v/>
      </c>
      <c r="O22" s="6" t="str">
        <f aca="false">IF(M22="","",IF(M22&gt;=Scales!$P$5,"Unacceptable",IF(M22&gt;=Scales!$P$6,"Reduce (ALARP)",IF(M22&gt;=Scales!$P$7,"Acceptable w/ review","Acceptable"))))</f>
        <v/>
      </c>
      <c r="P22" s="7"/>
      <c r="Q22" s="7"/>
      <c r="R22" s="7"/>
      <c r="S22" s="7"/>
      <c r="T22" s="7"/>
      <c r="U22" s="7"/>
      <c r="V22" s="7"/>
      <c r="W22" s="6" t="str">
        <f aca="false">IF(OR(U22="",V22=""),"",ROUNDUP(U22*V22/5,0))</f>
        <v/>
      </c>
      <c r="X22" s="6" t="str">
        <f aca="false">IF(OR(T22="",W22=""),"",T22*W22)</f>
        <v/>
      </c>
      <c r="Y22" s="6" t="str">
        <f aca="false">IF(X22="","",IF(X22&gt;=Scales!$P$5,"Intolerable",IF(X22&gt;=Scales!$P$6,"High",IF(X22&gt;=Scales!$P$7,"Medium","Low"))))</f>
        <v/>
      </c>
      <c r="Z22" s="6" t="str">
        <f aca="false">IF(X22="","",IF(X22&gt;=Scales!$P$5,"Unacceptable",IF(X22&gt;=Scales!$P$6,"Reduce (ALARP)",IF(X22&gt;=Scales!$P$7,"Acceptable w/ review","Acceptable"))))</f>
        <v/>
      </c>
      <c r="AA22" s="7"/>
      <c r="AB22" s="7"/>
      <c r="AC22" s="7"/>
      <c r="AD22" s="6" t="str">
        <f aca="false">IF(Z22="","",IF(OR(Z22="Unacceptable",O22="Unacceptable"),"OPEN","Closed"))</f>
        <v/>
      </c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6" t="str">
        <f aca="false">IF(OR(J23="",K23=""),"",ROUNDUP(J23*K23/5,0))</f>
        <v/>
      </c>
      <c r="M23" s="6" t="str">
        <f aca="false">IF(OR(I23="",L23=""),"",I23*L23)</f>
        <v/>
      </c>
      <c r="N23" s="6" t="str">
        <f aca="false">IF(M23="","",IF(M23&gt;=Scales!$P$5,"Intolerable",IF(M23&gt;=Scales!$P$6,"High",IF(M23&gt;=Scales!$P$7,"Medium","Low"))))</f>
        <v/>
      </c>
      <c r="O23" s="6" t="str">
        <f aca="false">IF(M23="","",IF(M23&gt;=Scales!$P$5,"Unacceptable",IF(M23&gt;=Scales!$P$6,"Reduce (ALARP)",IF(M23&gt;=Scales!$P$7,"Acceptable w/ review","Acceptable"))))</f>
        <v/>
      </c>
      <c r="P23" s="7"/>
      <c r="Q23" s="7"/>
      <c r="R23" s="7"/>
      <c r="S23" s="7"/>
      <c r="T23" s="7"/>
      <c r="U23" s="7"/>
      <c r="V23" s="7"/>
      <c r="W23" s="6" t="str">
        <f aca="false">IF(OR(U23="",V23=""),"",ROUNDUP(U23*V23/5,0))</f>
        <v/>
      </c>
      <c r="X23" s="6" t="str">
        <f aca="false">IF(OR(T23="",W23=""),"",T23*W23)</f>
        <v/>
      </c>
      <c r="Y23" s="6" t="str">
        <f aca="false">IF(X23="","",IF(X23&gt;=Scales!$P$5,"Intolerable",IF(X23&gt;=Scales!$P$6,"High",IF(X23&gt;=Scales!$P$7,"Medium","Low"))))</f>
        <v/>
      </c>
      <c r="Z23" s="6" t="str">
        <f aca="false">IF(X23="","",IF(X23&gt;=Scales!$P$5,"Unacceptable",IF(X23&gt;=Scales!$P$6,"Reduce (ALARP)",IF(X23&gt;=Scales!$P$7,"Acceptable w/ review","Acceptable"))))</f>
        <v/>
      </c>
      <c r="AA23" s="7"/>
      <c r="AB23" s="7"/>
      <c r="AC23" s="7"/>
      <c r="AD23" s="6" t="str">
        <f aca="false">IF(Z23="","",IF(OR(Z23="Unacceptable",O23="Unacceptable"),"OPEN","Closed"))</f>
        <v/>
      </c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6" t="str">
        <f aca="false">IF(OR(J24="",K24=""),"",ROUNDUP(J24*K24/5,0))</f>
        <v/>
      </c>
      <c r="M24" s="6" t="str">
        <f aca="false">IF(OR(I24="",L24=""),"",I24*L24)</f>
        <v/>
      </c>
      <c r="N24" s="6" t="str">
        <f aca="false">IF(M24="","",IF(M24&gt;=Scales!$P$5,"Intolerable",IF(M24&gt;=Scales!$P$6,"High",IF(M24&gt;=Scales!$P$7,"Medium","Low"))))</f>
        <v/>
      </c>
      <c r="O24" s="6" t="str">
        <f aca="false">IF(M24="","",IF(M24&gt;=Scales!$P$5,"Unacceptable",IF(M24&gt;=Scales!$P$6,"Reduce (ALARP)",IF(M24&gt;=Scales!$P$7,"Acceptable w/ review","Acceptable"))))</f>
        <v/>
      </c>
      <c r="P24" s="7"/>
      <c r="Q24" s="7"/>
      <c r="R24" s="7"/>
      <c r="S24" s="7"/>
      <c r="T24" s="7"/>
      <c r="U24" s="7"/>
      <c r="V24" s="7"/>
      <c r="W24" s="6" t="str">
        <f aca="false">IF(OR(U24="",V24=""),"",ROUNDUP(U24*V24/5,0))</f>
        <v/>
      </c>
      <c r="X24" s="6" t="str">
        <f aca="false">IF(OR(T24="",W24=""),"",T24*W24)</f>
        <v/>
      </c>
      <c r="Y24" s="6" t="str">
        <f aca="false">IF(X24="","",IF(X24&gt;=Scales!$P$5,"Intolerable",IF(X24&gt;=Scales!$P$6,"High",IF(X24&gt;=Scales!$P$7,"Medium","Low"))))</f>
        <v/>
      </c>
      <c r="Z24" s="6" t="str">
        <f aca="false">IF(X24="","",IF(X24&gt;=Scales!$P$5,"Unacceptable",IF(X24&gt;=Scales!$P$6,"Reduce (ALARP)",IF(X24&gt;=Scales!$P$7,"Acceptable w/ review","Acceptable"))))</f>
        <v/>
      </c>
      <c r="AA24" s="7"/>
      <c r="AB24" s="7"/>
      <c r="AC24" s="7"/>
      <c r="AD24" s="6" t="str">
        <f aca="false">IF(Z24="","",IF(OR(Z24="Unacceptable",O24="Unacceptable"),"OPEN","Closed"))</f>
        <v/>
      </c>
    </row>
  </sheetData>
  <conditionalFormatting sqref="N3:N24">
    <cfRule type="cellIs" priority="2" operator="equal" aboveAverage="0" equalAverage="0" bottom="0" percent="0" rank="0" text="" dxfId="0">
      <formula>"Intolerable"</formula>
    </cfRule>
    <cfRule type="cellIs" priority="3" operator="equal" aboveAverage="0" equalAverage="0" bottom="0" percent="0" rank="0" text="" dxfId="1">
      <formula>"High"</formula>
    </cfRule>
    <cfRule type="cellIs" priority="4" operator="equal" aboveAverage="0" equalAverage="0" bottom="0" percent="0" rank="0" text="" dxfId="2">
      <formula>"Medium"</formula>
    </cfRule>
    <cfRule type="cellIs" priority="5" operator="equal" aboveAverage="0" equalAverage="0" bottom="0" percent="0" rank="0" text="" dxfId="3">
      <formula>"Low"</formula>
    </cfRule>
  </conditionalFormatting>
  <conditionalFormatting sqref="Y3:Y24">
    <cfRule type="cellIs" priority="6" operator="equal" aboveAverage="0" equalAverage="0" bottom="0" percent="0" rank="0" text="" dxfId="0">
      <formula>"Intolerable"</formula>
    </cfRule>
    <cfRule type="cellIs" priority="7" operator="equal" aboveAverage="0" equalAverage="0" bottom="0" percent="0" rank="0" text="" dxfId="1">
      <formula>"High"</formula>
    </cfRule>
    <cfRule type="cellIs" priority="8" operator="equal" aboveAverage="0" equalAverage="0" bottom="0" percent="0" rank="0" text="" dxfId="2">
      <formula>"Medium"</formula>
    </cfRule>
    <cfRule type="cellIs" priority="9" operator="equal" aboveAverage="0" equalAverage="0" bottom="0" percent="0" rank="0" text="" dxfId="3">
      <formula>"Low"</formula>
    </cfRule>
  </conditionalFormatting>
  <dataValidations count="5">
    <dataValidation allowBlank="true" errorStyle="stop" operator="between" showDropDown="false" showErrorMessage="false" showInputMessage="false" sqref="C3:C24" type="list">
      <formula1>"Electrical energy,Thermal energy,Mechanical energy,Radiation energy,Biological (infection),Chemical / biocompatibility,Functional / loss of performance,Software fault,Information / labeling,Use error,Cybersecurity,Environmental / EMC"</formula1>
      <formula2>0</formula2>
    </dataValidation>
    <dataValidation allowBlank="true" errorStyle="stop" operator="between" showDropDown="false" showErrorMessage="false" showInputMessage="false" sqref="H3:H24" type="list">
      <formula1>"Patient,User / Operator,Bystander,Service personnel,Environment"</formula1>
      <formula2>0</formula2>
    </dataValidation>
    <dataValidation allowBlank="true" errorStyle="stop" operator="between" showDropDown="false" showErrorMessage="false" showInputMessage="false" sqref="Q3:Q24" type="list">
      <formula1>"Inherently safe design,Protective measure,Information for safety"</formula1>
      <formula2>0</formula2>
    </dataValidation>
    <dataValidation allowBlank="true" errorStyle="stop" operator="between" showDropDown="false" showErrorMessage="false" showInputMessage="false" sqref="AA3:AA24" type="list">
      <formula1>"Yes,No"</formula1>
      <formula2>0</formula2>
    </dataValidation>
    <dataValidation allowBlank="true" errorStyle="stop" operator="between" showDropDown="false" showErrorMessage="false" showInputMessage="false" sqref="AC3:AC24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4" min="4" style="0" width="50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40"/>
    <col collapsed="false" customWidth="true" hidden="false" outlineLevel="0" max="15" min="15" style="0" width="16"/>
    <col collapsed="false" customWidth="true" hidden="false" outlineLevel="0" max="16" min="16" style="0" width="6"/>
  </cols>
  <sheetData>
    <row r="2" customFormat="false" ht="17.35" hidden="false" customHeight="false" outlineLevel="0" collapsed="false">
      <c r="B2" s="8" t="s">
        <v>80</v>
      </c>
    </row>
    <row r="4" customFormat="false" ht="15" hidden="false" customHeight="true" outlineLevel="0" collapsed="false">
      <c r="B4" s="2" t="s">
        <v>81</v>
      </c>
      <c r="C4" s="2"/>
      <c r="D4" s="2"/>
      <c r="F4" s="9" t="s">
        <v>82</v>
      </c>
      <c r="G4" s="9"/>
      <c r="H4" s="9"/>
      <c r="O4" s="10" t="s">
        <v>83</v>
      </c>
    </row>
    <row r="5" customFormat="false" ht="15" hidden="false" customHeight="false" outlineLevel="0" collapsed="false">
      <c r="B5" s="9"/>
      <c r="C5" s="9"/>
      <c r="D5" s="9"/>
      <c r="F5" s="9"/>
      <c r="G5" s="9"/>
      <c r="H5" s="9"/>
      <c r="O5" s="11" t="s">
        <v>84</v>
      </c>
      <c r="P5" s="12" t="n">
        <v>16</v>
      </c>
    </row>
    <row r="6" customFormat="false" ht="23.85" hidden="false" customHeight="false" outlineLevel="0" collapsed="false">
      <c r="B6" s="13" t="n">
        <v>1</v>
      </c>
      <c r="C6" s="3" t="s">
        <v>85</v>
      </c>
      <c r="D6" s="3" t="s">
        <v>86</v>
      </c>
      <c r="F6" s="14" t="n">
        <v>16</v>
      </c>
      <c r="G6" s="15" t="s">
        <v>87</v>
      </c>
      <c r="H6" s="16" t="s">
        <v>88</v>
      </c>
      <c r="O6" s="11" t="s">
        <v>89</v>
      </c>
      <c r="P6" s="12" t="n">
        <v>10</v>
      </c>
    </row>
    <row r="7" customFormat="false" ht="23.85" hidden="false" customHeight="false" outlineLevel="0" collapsed="false">
      <c r="B7" s="13" t="n">
        <v>2</v>
      </c>
      <c r="C7" s="3" t="s">
        <v>90</v>
      </c>
      <c r="D7" s="3" t="s">
        <v>91</v>
      </c>
      <c r="F7" s="17" t="n">
        <v>10</v>
      </c>
      <c r="G7" s="18" t="s">
        <v>92</v>
      </c>
      <c r="H7" s="19" t="s">
        <v>93</v>
      </c>
      <c r="O7" s="11" t="s">
        <v>94</v>
      </c>
      <c r="P7" s="12" t="n">
        <v>5</v>
      </c>
    </row>
    <row r="8" customFormat="false" ht="15" hidden="false" customHeight="false" outlineLevel="0" collapsed="false">
      <c r="B8" s="13" t="n">
        <v>3</v>
      </c>
      <c r="C8" s="3" t="s">
        <v>95</v>
      </c>
      <c r="D8" s="3" t="s">
        <v>96</v>
      </c>
      <c r="F8" s="20" t="n">
        <v>5</v>
      </c>
      <c r="G8" s="21" t="s">
        <v>97</v>
      </c>
      <c r="H8" s="22" t="s">
        <v>98</v>
      </c>
    </row>
    <row r="9" customFormat="false" ht="15" hidden="false" customHeight="false" outlineLevel="0" collapsed="false">
      <c r="B9" s="13" t="n">
        <v>4</v>
      </c>
      <c r="C9" s="3" t="s">
        <v>99</v>
      </c>
      <c r="D9" s="3" t="s">
        <v>100</v>
      </c>
      <c r="F9" s="23" t="n">
        <v>1</v>
      </c>
      <c r="G9" s="24" t="s">
        <v>101</v>
      </c>
      <c r="H9" s="25" t="s">
        <v>102</v>
      </c>
    </row>
    <row r="10" customFormat="false" ht="15" hidden="false" customHeight="false" outlineLevel="0" collapsed="false">
      <c r="B10" s="13" t="n">
        <v>5</v>
      </c>
      <c r="C10" s="3" t="s">
        <v>103</v>
      </c>
      <c r="D10" s="3" t="s">
        <v>104</v>
      </c>
    </row>
    <row r="12" customFormat="false" ht="15" hidden="false" customHeight="true" outlineLevel="0" collapsed="false">
      <c r="B12" s="2" t="s">
        <v>105</v>
      </c>
      <c r="C12" s="2"/>
      <c r="D12" s="2"/>
      <c r="F12" s="26" t="s">
        <v>106</v>
      </c>
    </row>
    <row r="13" customFormat="false" ht="23.85" hidden="false" customHeight="false" outlineLevel="0" collapsed="false">
      <c r="B13" s="9"/>
      <c r="C13" s="9"/>
      <c r="D13" s="9"/>
      <c r="F13" s="9" t="s">
        <v>107</v>
      </c>
      <c r="G13" s="9" t="n">
        <v>1</v>
      </c>
      <c r="H13" s="9" t="n">
        <v>2</v>
      </c>
      <c r="I13" s="9" t="n">
        <v>3</v>
      </c>
      <c r="J13" s="9" t="n">
        <v>4</v>
      </c>
      <c r="K13" s="9" t="n">
        <v>5</v>
      </c>
    </row>
    <row r="14" customFormat="false" ht="15" hidden="false" customHeight="false" outlineLevel="0" collapsed="false">
      <c r="B14" s="13" t="n">
        <v>1</v>
      </c>
      <c r="C14" s="3" t="s">
        <v>108</v>
      </c>
      <c r="D14" s="3" t="s">
        <v>109</v>
      </c>
      <c r="F14" s="9" t="n">
        <v>5</v>
      </c>
      <c r="G14" s="27" t="n">
        <v>5</v>
      </c>
      <c r="H14" s="28" t="n">
        <v>10</v>
      </c>
      <c r="I14" s="28" t="n">
        <v>15</v>
      </c>
      <c r="J14" s="29" t="n">
        <v>20</v>
      </c>
      <c r="K14" s="29" t="n">
        <v>25</v>
      </c>
    </row>
    <row r="15" customFormat="false" ht="15" hidden="false" customHeight="false" outlineLevel="0" collapsed="false">
      <c r="B15" s="13" t="n">
        <v>2</v>
      </c>
      <c r="C15" s="3" t="s">
        <v>110</v>
      </c>
      <c r="D15" s="3" t="s">
        <v>111</v>
      </c>
      <c r="F15" s="9" t="n">
        <v>4</v>
      </c>
      <c r="G15" s="30" t="n">
        <v>4</v>
      </c>
      <c r="H15" s="27" t="n">
        <v>8</v>
      </c>
      <c r="I15" s="28" t="n">
        <v>12</v>
      </c>
      <c r="J15" s="29" t="n">
        <v>16</v>
      </c>
      <c r="K15" s="29" t="n">
        <v>20</v>
      </c>
    </row>
    <row r="16" customFormat="false" ht="15" hidden="false" customHeight="false" outlineLevel="0" collapsed="false">
      <c r="B16" s="13" t="n">
        <v>3</v>
      </c>
      <c r="C16" s="3" t="s">
        <v>112</v>
      </c>
      <c r="D16" s="3" t="s">
        <v>113</v>
      </c>
      <c r="F16" s="9" t="n">
        <v>3</v>
      </c>
      <c r="G16" s="30" t="n">
        <v>3</v>
      </c>
      <c r="H16" s="27" t="n">
        <v>6</v>
      </c>
      <c r="I16" s="27" t="n">
        <v>9</v>
      </c>
      <c r="J16" s="28" t="n">
        <v>12</v>
      </c>
      <c r="K16" s="28" t="n">
        <v>15</v>
      </c>
    </row>
    <row r="17" customFormat="false" ht="15" hidden="false" customHeight="false" outlineLevel="0" collapsed="false">
      <c r="B17" s="13" t="n">
        <v>4</v>
      </c>
      <c r="C17" s="3" t="s">
        <v>114</v>
      </c>
      <c r="D17" s="3" t="s">
        <v>115</v>
      </c>
      <c r="F17" s="9" t="n">
        <v>2</v>
      </c>
      <c r="G17" s="30" t="n">
        <v>2</v>
      </c>
      <c r="H17" s="30" t="n">
        <v>4</v>
      </c>
      <c r="I17" s="27" t="n">
        <v>6</v>
      </c>
      <c r="J17" s="27" t="n">
        <v>8</v>
      </c>
      <c r="K17" s="28" t="n">
        <v>10</v>
      </c>
    </row>
    <row r="18" customFormat="false" ht="15" hidden="false" customHeight="false" outlineLevel="0" collapsed="false">
      <c r="B18" s="13" t="n">
        <v>5</v>
      </c>
      <c r="C18" s="3" t="s">
        <v>116</v>
      </c>
      <c r="D18" s="3" t="s">
        <v>117</v>
      </c>
      <c r="F18" s="9" t="n">
        <v>1</v>
      </c>
      <c r="G18" s="30" t="n">
        <v>1</v>
      </c>
      <c r="H18" s="30" t="n">
        <v>2</v>
      </c>
      <c r="I18" s="30" t="n">
        <v>3</v>
      </c>
      <c r="J18" s="30" t="n">
        <v>4</v>
      </c>
      <c r="K18" s="27" t="n">
        <v>5</v>
      </c>
    </row>
    <row r="20" customFormat="false" ht="15" hidden="false" customHeight="false" outlineLevel="0" collapsed="false">
      <c r="B20" s="31" t="s">
        <v>118</v>
      </c>
      <c r="C20" s="31"/>
      <c r="D20" s="31"/>
    </row>
  </sheetData>
  <mergeCells count="4">
    <mergeCell ref="B4:D4"/>
    <mergeCell ref="F4:H4"/>
    <mergeCell ref="B12:D12"/>
    <mergeCell ref="B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5" min="5" style="0" width="30"/>
    <col collapsed="false" customWidth="true" hidden="false" outlineLevel="0" max="6" min="6" style="0" width="26"/>
  </cols>
  <sheetData>
    <row r="2" customFormat="false" ht="16.15" hidden="false" customHeight="false" outlineLevel="0" collapsed="false">
      <c r="B2" s="1" t="s">
        <v>119</v>
      </c>
    </row>
    <row r="4" customFormat="false" ht="15" hidden="false" customHeight="false" outlineLevel="0" collapsed="false">
      <c r="B4" s="9" t="s">
        <v>3</v>
      </c>
      <c r="C4" s="9" t="s">
        <v>4</v>
      </c>
      <c r="D4" s="9" t="s">
        <v>120</v>
      </c>
      <c r="E4" s="9" t="s">
        <v>121</v>
      </c>
      <c r="F4" s="9" t="s">
        <v>122</v>
      </c>
    </row>
    <row r="5" customFormat="false" ht="30" hidden="false" customHeight="true" outlineLevel="0" collapsed="false">
      <c r="B5" s="3" t="s">
        <v>123</v>
      </c>
      <c r="C5" s="3" t="s">
        <v>124</v>
      </c>
      <c r="D5" s="3" t="s">
        <v>125</v>
      </c>
      <c r="E5" s="3" t="s">
        <v>126</v>
      </c>
      <c r="F5" s="13" t="n">
        <v>4</v>
      </c>
    </row>
    <row r="6" customFormat="false" ht="30" hidden="false" customHeight="true" outlineLevel="0" collapsed="false">
      <c r="B6" s="32" t="s">
        <v>127</v>
      </c>
      <c r="C6" s="32" t="s">
        <v>128</v>
      </c>
      <c r="D6" s="32" t="s">
        <v>129</v>
      </c>
      <c r="E6" s="32" t="s">
        <v>130</v>
      </c>
      <c r="F6" s="33" t="n">
        <v>3</v>
      </c>
    </row>
    <row r="7" customFormat="false" ht="30" hidden="false" customHeight="true" outlineLevel="0" collapsed="false">
      <c r="B7" s="3" t="s">
        <v>131</v>
      </c>
      <c r="C7" s="3" t="s">
        <v>132</v>
      </c>
      <c r="D7" s="3" t="s">
        <v>133</v>
      </c>
      <c r="E7" s="3" t="s">
        <v>134</v>
      </c>
      <c r="F7" s="13" t="n">
        <v>3</v>
      </c>
    </row>
    <row r="8" customFormat="false" ht="30" hidden="false" customHeight="true" outlineLevel="0" collapsed="false">
      <c r="B8" s="32" t="s">
        <v>135</v>
      </c>
      <c r="C8" s="32" t="s">
        <v>136</v>
      </c>
      <c r="D8" s="32" t="s">
        <v>137</v>
      </c>
      <c r="E8" s="32" t="s">
        <v>138</v>
      </c>
      <c r="F8" s="33" t="n">
        <v>4</v>
      </c>
    </row>
    <row r="9" customFormat="false" ht="30" hidden="false" customHeight="true" outlineLevel="0" collapsed="false">
      <c r="B9" s="3" t="s">
        <v>60</v>
      </c>
      <c r="C9" s="3" t="s">
        <v>139</v>
      </c>
      <c r="D9" s="3" t="s">
        <v>140</v>
      </c>
      <c r="E9" s="3" t="s">
        <v>141</v>
      </c>
      <c r="F9" s="13" t="n">
        <v>4</v>
      </c>
    </row>
    <row r="10" customFormat="false" ht="30" hidden="false" customHeight="true" outlineLevel="0" collapsed="false">
      <c r="B10" s="32" t="s">
        <v>142</v>
      </c>
      <c r="C10" s="32" t="s">
        <v>143</v>
      </c>
      <c r="D10" s="32" t="s">
        <v>144</v>
      </c>
      <c r="E10" s="32" t="s">
        <v>145</v>
      </c>
      <c r="F10" s="33" t="n">
        <v>3</v>
      </c>
    </row>
    <row r="11" customFormat="false" ht="30" hidden="false" customHeight="true" outlineLevel="0" collapsed="false">
      <c r="B11" s="3" t="s">
        <v>72</v>
      </c>
      <c r="C11" s="3" t="s">
        <v>146</v>
      </c>
      <c r="D11" s="3" t="s">
        <v>147</v>
      </c>
      <c r="E11" s="3" t="s">
        <v>148</v>
      </c>
      <c r="F11" s="13" t="n">
        <v>4</v>
      </c>
    </row>
    <row r="12" customFormat="false" ht="30" hidden="false" customHeight="true" outlineLevel="0" collapsed="false">
      <c r="B12" s="32" t="s">
        <v>33</v>
      </c>
      <c r="C12" s="32" t="s">
        <v>149</v>
      </c>
      <c r="D12" s="32" t="s">
        <v>150</v>
      </c>
      <c r="E12" s="32" t="s">
        <v>151</v>
      </c>
      <c r="F12" s="33" t="n">
        <v>4</v>
      </c>
    </row>
    <row r="13" customFormat="false" ht="30" hidden="false" customHeight="true" outlineLevel="0" collapsed="false">
      <c r="B13" s="3" t="s">
        <v>152</v>
      </c>
      <c r="C13" s="3" t="s">
        <v>153</v>
      </c>
      <c r="D13" s="3" t="s">
        <v>154</v>
      </c>
      <c r="E13" s="3" t="s">
        <v>155</v>
      </c>
      <c r="F13" s="13" t="n">
        <v>3</v>
      </c>
    </row>
    <row r="14" customFormat="false" ht="30" hidden="false" customHeight="true" outlineLevel="0" collapsed="false">
      <c r="B14" s="32" t="s">
        <v>156</v>
      </c>
      <c r="C14" s="32" t="s">
        <v>157</v>
      </c>
      <c r="D14" s="32" t="s">
        <v>158</v>
      </c>
      <c r="E14" s="32" t="s">
        <v>159</v>
      </c>
      <c r="F14" s="33" t="n">
        <v>4</v>
      </c>
    </row>
    <row r="15" customFormat="false" ht="30" hidden="false" customHeight="true" outlineLevel="0" collapsed="false">
      <c r="B15" s="3" t="s">
        <v>48</v>
      </c>
      <c r="C15" s="3" t="s">
        <v>160</v>
      </c>
      <c r="D15" s="3" t="s">
        <v>161</v>
      </c>
      <c r="E15" s="3" t="s">
        <v>162</v>
      </c>
      <c r="F15" s="13" t="n">
        <v>4</v>
      </c>
    </row>
    <row r="16" customFormat="false" ht="30" hidden="false" customHeight="true" outlineLevel="0" collapsed="false">
      <c r="B16" s="32" t="s">
        <v>163</v>
      </c>
      <c r="C16" s="32" t="s">
        <v>164</v>
      </c>
      <c r="D16" s="32" t="s">
        <v>165</v>
      </c>
      <c r="E16" s="32" t="s">
        <v>166</v>
      </c>
      <c r="F16" s="33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2026-06-28T00:34:48Z</dcterms:created>
  <dc:creator>openpyxl</dc:creator>
  <dc:description/>
  <dc:language>en-US</dc:language>
  <cp:lastModifiedBy/>
  <dcterms:modified xsi:type="dcterms:W3CDTF">2026-06-28T00:34:48Z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